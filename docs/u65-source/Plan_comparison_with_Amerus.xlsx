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6080d628174337" /></Relationships>
</file>

<file path=xl/workbook.xml><?xml version="1.0" encoding="utf-8"?>
<x:workbook xmlns:x="http://schemas.openxmlformats.org/spreadsheetml/2006/main">
  <x:sheets>
    <x:sheet xmlns:r="http://schemas.openxmlformats.org/officeDocument/2006/relationships" name="Rates" sheetId="1" r:id="R78a059e30ef84b1e"/>
    <x:sheet xmlns:r="http://schemas.openxmlformats.org/officeDocument/2006/relationships" name="Major medical" sheetId="2" r:id="Rfbf28f27aa754520"/>
    <x:sheet xmlns:r="http://schemas.openxmlformats.org/officeDocument/2006/relationships" name="HSA" sheetId="3" r:id="Rd8ba7493beed44df"/>
    <x:sheet xmlns:r="http://schemas.openxmlformats.org/officeDocument/2006/relationships" name="Limited copay" sheetId="4" r:id="Rbf32fe6f15fc4ead"/>
    <x:sheet xmlns:r="http://schemas.openxmlformats.org/officeDocument/2006/relationships" name="MEC / preventive" sheetId="5" r:id="R4447e214d2cd4c9e"/>
    <x:sheet xmlns:r="http://schemas.openxmlformats.org/officeDocument/2006/relationships" name="Fixed indemnity" sheetId="6" r:id="R095bcc950dfe48a2"/>
    <x:sheet xmlns:r="http://schemas.openxmlformats.org/officeDocument/2006/relationships" name="Bloom rates" sheetId="7" r:id="Ra6e9f3b5243444e8"/>
    <x:sheet xmlns:r="http://schemas.openxmlformats.org/officeDocument/2006/relationships" name="Networks" sheetId="8" r:id="Re2f9ff4437db43ae"/>
    <x:sheet xmlns:r="http://schemas.openxmlformats.org/officeDocument/2006/relationships" name="Rate sources" sheetId="9" r:id="R01915bdf617843ae"/>
    <x:sheet xmlns:r="http://schemas.openxmlformats.org/officeDocument/2006/relationships" name="Sources" sheetId="10" r:id="R1e33f299b8714e4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
  </x:numFmts>
  <x:fonts count="5">
    <x:font>
      <x:sz val="11"/>
      <x:name val="Carlito"/>
    </x:font>
    <x:font>
      <x:sz val="11"/>
      <x:color rgb="FF182C40"/>
      <x:name val="Arial"/>
    </x:font>
    <x:font>
      <x:b/>
      <x:sz val="16"/>
      <x:color rgb="FF182C40"/>
      <x:name val="Arial"/>
    </x:font>
    <x:font>
      <x:sz val="11"/>
      <x:color rgb="FF526578"/>
      <x:name val="Arial"/>
    </x:font>
    <x:font>
      <x:b/>
      <x:sz val="11"/>
      <x:color rgb="FFFFFFFF"/>
      <x:name val="Arial"/>
    </x:font>
  </x:fonts>
  <x:fills count="4">
    <x:fill>
      <x:patternFill patternType="none"/>
    </x:fill>
    <x:fill>
      <x:patternFill patternType="gray125"/>
    </x:fill>
    <x:fill>
      <x:patternFill patternType="solid">
        <x:fgColor rgb="FF183B56"/>
      </x:patternFill>
    </x:fill>
    <x:fill>
      <x:patternFill patternType="solid">
        <x:fgColor rgb="FFF0F4F8"/>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1" fontId="1" fillId="3"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2"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aadb112a8940b7" /><Relationship Type="http://schemas.openxmlformats.org/officeDocument/2006/relationships/theme" Target="/xl/theme/theme1.xml" Id="R765ea1e366c3412b" /><Relationship Type="http://schemas.openxmlformats.org/officeDocument/2006/relationships/sharedStrings" Target="/xl/sharedStrings.xml" Id="R9714657c6e7d4596" /><Relationship Type="http://schemas.openxmlformats.org/officeDocument/2006/relationships/worksheet" Target="/xl/worksheets/sheet1.xml" Id="R78a059e30ef84b1e" /><Relationship Type="http://schemas.openxmlformats.org/officeDocument/2006/relationships/worksheet" Target="/xl/worksheets/sheet2.xml" Id="Rfbf28f27aa754520" /><Relationship Type="http://schemas.openxmlformats.org/officeDocument/2006/relationships/worksheet" Target="/xl/worksheets/sheet3.xml" Id="Rd8ba7493beed44df" /><Relationship Type="http://schemas.openxmlformats.org/officeDocument/2006/relationships/worksheet" Target="/xl/worksheets/sheet4.xml" Id="Rbf32fe6f15fc4ead" /><Relationship Type="http://schemas.openxmlformats.org/officeDocument/2006/relationships/worksheet" Target="/xl/worksheets/sheet5.xml" Id="R4447e214d2cd4c9e" /><Relationship Type="http://schemas.openxmlformats.org/officeDocument/2006/relationships/worksheet" Target="/xl/worksheets/sheet6.xml" Id="R095bcc950dfe48a2" /><Relationship Type="http://schemas.openxmlformats.org/officeDocument/2006/relationships/worksheet" Target="/xl/worksheets/sheet7.xml" Id="Ra6e9f3b5243444e8" /><Relationship Type="http://schemas.openxmlformats.org/officeDocument/2006/relationships/worksheet" Target="/xl/worksheets/sheet8.xml" Id="Re2f9ff4437db43ae" /><Relationship Type="http://schemas.openxmlformats.org/officeDocument/2006/relationships/worksheet" Target="/xl/worksheets/sheet9.xml" Id="R01915bdf617843ae" /><Relationship Type="http://schemas.openxmlformats.org/officeDocument/2006/relationships/worksheet" Target="/xl/worksheets/sheet10.xml" Id="R1e33f299b8714e47" /></Relationships>
</file>

<file path=xl/tables/table1.xml><?xml version="1.0" encoding="utf-8"?>
<x:table xmlns:x="http://schemas.openxmlformats.org/spreadsheetml/2006/main" id="2" name="CityRates" displayName="CityRates" ref="A9:M68" headerRowCount="1" totalsRowCount="0" totalsRowShown="0">
  <x:tableColumns count="13">
    <x:tableColumn id="1" name="Entity"/>
    <x:tableColumn id="2" name="Plan"/>
    <x:tableColumn id="3" name="Coverage group"/>
    <x:tableColumn id="4" name="Network"/>
    <x:tableColumn id="5" name="Dallas 75201 A"/>
    <x:tableColumn id="6" name="Dallas 75201 B"/>
    <x:tableColumn id="7" name="Dallas 75201 C"/>
    <x:tableColumn id="8" name="Houston 77002 A"/>
    <x:tableColumn id="9" name="Houston 77002 B"/>
    <x:tableColumn id="10" name="Houston 77002 C"/>
    <x:tableColumn id="11" name="Ft Lauderdale 33301 A"/>
    <x:tableColumn id="12" name="Ft Lauderdale 33301 B"/>
    <x:tableColumn id="13" name="Ft Lauderdale 33301 C"/>
  </x:tableColumns>
  <x:tableStyleInfo name="TableStyleMedium2" showFirstColumn="0" showLastColumn="0" showRowStripes="1" showColumnStripes="0"/>
</x:table>
</file>

<file path=xl/tables/table2.xml><?xml version="1.0" encoding="utf-8"?>
<x:table xmlns:x="http://schemas.openxmlformats.org/spreadsheetml/2006/main" id="3" name="BloomPremiums" displayName="BloomPremiums" ref="A7:F14" headerRowCount="1" totalsRowCount="0" totalsRowShown="0">
  <x:tableColumns count="6">
    <x:tableColumn id="1" name="Plan"/>
    <x:tableColumn id="2" name="Individual"/>
    <x:tableColumn id="3" name="Individual + spouse"/>
    <x:tableColumn id="4" name="Individual + children"/>
    <x:tableColumn id="5" name="Family"/>
    <x:tableColumn id="6" name="Source"/>
  </x:tableColumns>
  <x:tableStyleInfo name="TableStyleMedium2" showFirstColumn="0" showLastColumn="0" showRowStripes="1" showColumnStripes="0"/>
</x:table>
</file>

<file path=xl/tables/table3.xml><?xml version="1.0" encoding="utf-8"?>
<x:table xmlns:x="http://schemas.openxmlformats.org/spreadsheetml/2006/main" id="1" name="RateInputs" displayName="RateInputs" ref="A8:L67" headerRowCount="1" totalsRowCount="0" totalsRowShown="0">
  <x:tableColumns count="12">
    <x:tableColumn id="1" name="ID"/>
    <x:tableColumn id="2" name="Entity"/>
    <x:tableColumn id="3" name="Plan"/>
    <x:tableColumn id="4" name="A monthly"/>
    <x:tableColumn id="5" name="B monthly"/>
    <x:tableColumn id="6" name="C monthly"/>
    <x:tableColumn id="7" name="A annual"/>
    <x:tableColumn id="8" name="B annual"/>
    <x:tableColumn id="9" name="C annual"/>
    <x:tableColumn id="10" name="Rate status and basis"/>
    <x:tableColumn id="11" name="Source"/>
    <x:tableColumn id="12" name="Rate pag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47c704589dd4f4d" /></Relationships>
</file>

<file path=xl/worksheets/_rels/sheet7.xml.rels>&#65279;<?xml version="1.0" encoding="utf-8"?><Relationships xmlns="http://schemas.openxmlformats.org/package/2006/relationships"><Relationship Type="http://schemas.openxmlformats.org/officeDocument/2006/relationships/table" Target="/xl/tables/table2.xml" Id="Rc07dcf40b18c4089" /></Relationships>
</file>

<file path=xl/worksheets/_rels/sheet9.xml.rels>&#65279;<?xml version="1.0" encoding="utf-8"?><Relationships xmlns="http://schemas.openxmlformats.org/package/2006/relationships"><Relationship Type="http://schemas.openxmlformats.org/officeDocument/2006/relationships/table" Target="/xl/tables/table3.xml" Id="R93f1e840ae4c4fb2" /></Relationships>
</file>

<file path=xl/worksheets/sheet1.xml><?xml version="1.0" encoding="utf-8"?>
<x:worksheet xmlns:x="http://schemas.openxmlformats.org/spreadsheetml/2006/main">
  <x:sheetPr>
    <x:tabColor rgb="FF183B56"/>
  </x:sheetPr>
  <x:sheetViews>
    <x:sheetView showGridLines="0" workbookViewId="0">
      <x:pane xSplit="2" ySplit="9" topLeftCell="C10" activePane="bottomRight" state="frozen"/>
    </x:sheetView>
  </x:sheetViews>
  <x:sheetFormatPr defaultRowHeight="15"/>
  <x:cols>
    <x:col min="1" max="1" width="14" hidden="0" customWidth="1"/>
    <x:col min="2" max="2" width="33" hidden="0" customWidth="1"/>
    <x:col min="3" max="3" width="23" hidden="0" customWidth="1"/>
    <x:col min="4" max="4" width="23"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s>
  <x:sheetData>
    <x:row r="1" ht="25" customHeight="1">
      <x:c r="A1" s="2"/>
      <x:c r="B1" s="2"/>
      <x:c r="C1" s="2"/>
      <x:c r="D1" s="2"/>
      <x:c r="E1" s="2"/>
      <x:c r="F1" s="2"/>
      <x:c r="G1" s="2"/>
      <x:c r="H1" s="2"/>
      <x:c r="I1" s="2"/>
      <x:c r="J1" s="2"/>
      <x:c r="K1" s="2"/>
      <x:c r="L1" s="2"/>
      <x:c r="M1" s="2"/>
      <x:c r="N1" s="2"/>
    </x:row>
    <x:row r="2" ht="30" customHeight="1">
      <x:c r="A2" s="3" t="str">
        <x:v>U65 off exchange premium comparison with Amerus</x:v>
      </x:c>
      <x:c r="B2" s="2"/>
      <x:c r="C2" s="2"/>
      <x:c r="D2" s="2"/>
      <x:c r="E2" s="2"/>
      <x:c r="F2" s="2"/>
      <x:c r="G2" s="2"/>
      <x:c r="H2" s="2"/>
      <x:c r="I2" s="2"/>
      <x:c r="J2" s="2"/>
      <x:c r="K2" s="2"/>
      <x:c r="L2" s="2"/>
      <x:c r="M2" s="2"/>
      <x:c r="N2" s="2"/>
    </x:row>
    <x:row r="3" ht="25" customHeight="1">
      <x:c r="A3" s="2"/>
      <x:c r="B3" s="2"/>
      <x:c r="C3" s="2"/>
      <x:c r="D3" s="2"/>
      <x:c r="E3" s="2"/>
      <x:c r="F3" s="2"/>
      <x:c r="G3" s="2"/>
      <x:c r="H3" s="2"/>
      <x:c r="I3" s="2"/>
      <x:c r="J3" s="2"/>
      <x:c r="K3" s="2"/>
      <x:c r="L3" s="2"/>
      <x:c r="M3" s="2"/>
      <x:c r="N3" s="2"/>
    </x:row>
    <x:row r="4" ht="25" customHeight="1">
      <x:c r="A4" s="4" t="str">
        <x:v>Monthly USD. Identical city figures reflect one published schedule, not three verified local quotes.</x:v>
      </x:c>
      <x:c r="B4" s="2"/>
      <x:c r="C4" s="2"/>
      <x:c r="D4" s="2"/>
      <x:c r="E4" s="2"/>
      <x:c r="F4" s="2"/>
      <x:c r="G4" s="2"/>
      <x:c r="H4" s="2"/>
      <x:c r="I4" s="2"/>
      <x:c r="J4" s="2"/>
      <x:c r="K4" s="2"/>
      <x:c r="L4" s="2"/>
      <x:c r="M4" s="2"/>
      <x:c r="N4" s="2"/>
    </x:row>
    <x:row r="5" ht="25" customHeight="1">
      <x:c r="A5" s="4" t="str">
        <x:v>A: female 40 + 2 children. B: male 50. C: male 50 + spouse 50 + 1 child. Full assumptions on Rate sources.</x:v>
      </x:c>
      <x:c r="B5" s="2"/>
      <x:c r="C5" s="2"/>
      <x:c r="D5" s="2"/>
      <x:c r="E5" s="2"/>
      <x:c r="F5" s="2"/>
      <x:c r="G5" s="2"/>
      <x:c r="H5" s="2"/>
      <x:c r="I5" s="2"/>
      <x:c r="J5" s="2"/>
      <x:c r="K5" s="2"/>
      <x:c r="L5" s="2"/>
      <x:c r="M5" s="2"/>
      <x:c r="N5" s="2"/>
    </x:row>
    <x:row r="6" ht="25" customHeight="1">
      <x:c r="A6" s="4" t="str">
        <x:v>Comparison date October 1, 2026. TX/FL eligibility, source effective dates, mandatory fees and final underwriting remain unverified.</x:v>
      </x:c>
      <x:c r="B6" s="2"/>
      <x:c r="C6" s="2"/>
      <x:c r="D6" s="2"/>
      <x:c r="E6" s="2"/>
      <x:c r="F6" s="2"/>
      <x:c r="G6" s="2"/>
      <x:c r="H6" s="2"/>
      <x:c r="I6" s="2"/>
      <x:c r="J6" s="2"/>
      <x:c r="K6" s="2"/>
      <x:c r="L6" s="2"/>
      <x:c r="M6" s="2"/>
      <x:c r="N6" s="2"/>
    </x:row>
    <x:row r="7" ht="25" customHeight="1">
      <x:c r="A7" s="4" t="str">
        <x:v>Compare within coverage groups. Fixed-indemnity payouts and visit-limited benefits are not equivalent to major medical.</x:v>
      </x:c>
      <x:c r="B7" s="2"/>
      <x:c r="C7" s="2"/>
      <x:c r="D7" s="2"/>
      <x:c r="E7" s="2"/>
      <x:c r="F7" s="2"/>
      <x:c r="G7" s="2"/>
      <x:c r="H7" s="2"/>
      <x:c r="I7" s="2"/>
      <x:c r="J7" s="2"/>
      <x:c r="K7" s="2"/>
      <x:c r="L7" s="2"/>
      <x:c r="M7" s="2"/>
      <x:c r="N7" s="2"/>
    </x:row>
    <x:row r="8" ht="25" customHeight="1">
      <x:c r="A8" s="2"/>
      <x:c r="B8" s="2"/>
      <x:c r="C8" s="2"/>
      <x:c r="D8" s="2"/>
      <x:c r="E8" s="2"/>
      <x:c r="F8" s="2"/>
      <x:c r="G8" s="2"/>
      <x:c r="H8" s="2"/>
      <x:c r="I8" s="2"/>
      <x:c r="J8" s="2"/>
      <x:c r="K8" s="2"/>
      <x:c r="L8" s="2"/>
      <x:c r="M8" s="2"/>
      <x:c r="N8" s="2"/>
    </x:row>
    <x:row r="9" ht="58" customHeight="1">
      <x:c r="A9" s="8" t="str">
        <x:v>Entity</x:v>
      </x:c>
      <x:c r="B9" s="8" t="str">
        <x:v>Plan</x:v>
      </x:c>
      <x:c r="C9" s="8" t="str">
        <x:v>Coverage group</x:v>
      </x:c>
      <x:c r="D9" s="8" t="str">
        <x:v>Network</x:v>
      </x:c>
      <x:c r="E9" s="8" t="str">
        <x:v>Dallas 75201 A</x:v>
      </x:c>
      <x:c r="F9" s="8" t="str">
        <x:v>Dallas 75201 B</x:v>
      </x:c>
      <x:c r="G9" s="8" t="str">
        <x:v>Dallas 75201 C</x:v>
      </x:c>
      <x:c r="H9" s="8" t="str">
        <x:v>Houston 77002 A</x:v>
      </x:c>
      <x:c r="I9" s="8" t="str">
        <x:v>Houston 77002 B</x:v>
      </x:c>
      <x:c r="J9" s="8" t="str">
        <x:v>Houston 77002 C</x:v>
      </x:c>
      <x:c r="K9" s="8" t="str">
        <x:v>Ft Lauderdale 33301 A</x:v>
      </x:c>
      <x:c r="L9" s="8" t="str">
        <x:v>Ft Lauderdale 33301 B</x:v>
      </x:c>
      <x:c r="M9" s="8" t="str">
        <x:v>Ft Lauderdale 33301 C</x:v>
      </x:c>
      <x:c r="N9" s="2"/>
    </x:row>
    <x:row r="10" ht="42" customHeight="1">
      <x:c r="A10" s="12" t="str">
        <x:v>Amerus</x:v>
      </x:c>
      <x:c r="B10" s="12" t="str">
        <x:v>Ultimate PPO</x:v>
      </x:c>
      <x:c r="C10" s="12" t="str">
        <x:v>Major medical</x:v>
      </x:c>
      <x:c r="D10" s="12" t="str">
        <x:v>Cigna PPO network; OON benefits included</x:v>
      </x:c>
      <x:c r="E10" s="10" t="n">
        <x:f>'Rate sources'!D9</x:f>
        <x:v>1699</x:v>
      </x:c>
      <x:c r="F10" s="10" t="n">
        <x:f>'Rate sources'!E9</x:f>
        <x:v>949</x:v>
      </x:c>
      <x:c r="G10" s="10" t="n">
        <x:f>'Rate sources'!F9</x:f>
        <x:v>2299</x:v>
      </x:c>
      <x:c r="H10" s="10" t="n">
        <x:f>'Rate sources'!D9</x:f>
        <x:v>1699</x:v>
      </x:c>
      <x:c r="I10" s="10" t="n">
        <x:f>'Rate sources'!E9</x:f>
        <x:v>949</x:v>
      </x:c>
      <x:c r="J10" s="10" t="n">
        <x:f>'Rate sources'!F9</x:f>
        <x:v>2299</x:v>
      </x:c>
      <x:c r="K10" s="10" t="n">
        <x:f>'Rate sources'!D9</x:f>
        <x:v>1699</x:v>
      </x:c>
      <x:c r="L10" s="10" t="n">
        <x:f>'Rate sources'!E9</x:f>
        <x:v>949</x:v>
      </x:c>
      <x:c r="M10" s="10" t="n">
        <x:f>'Rate sources'!F9</x:f>
        <x:v>2299</x:v>
      </x:c>
      <x:c r="N10" s="2"/>
    </x:row>
    <x:row r="11" ht="42" customHeight="1">
      <x:c r="A11" s="13" t="str">
        <x:v>Life-X</x:v>
      </x:c>
      <x:c r="B11" s="13" t="str">
        <x:v>MM 1000</x:v>
      </x:c>
      <x:c r="C11" s="13" t="str">
        <x:v>Major medical</x:v>
      </x:c>
      <x:c r="D11" s="13" t="str">
        <x:v>PHCS PPO</x:v>
      </x:c>
      <x:c r="E11" s="11" t="n">
        <x:f>'Rate sources'!D10</x:f>
        <x:v>1368</x:v>
      </x:c>
      <x:c r="F11" s="11" t="n">
        <x:f>'Rate sources'!E10</x:f>
        <x:v>875</x:v>
      </x:c>
      <x:c r="G11" s="11" t="n">
        <x:f>'Rate sources'!F10</x:f>
        <x:v>2245</x:v>
      </x:c>
      <x:c r="H11" s="11" t="n">
        <x:f>'Rate sources'!D10</x:f>
        <x:v>1368</x:v>
      </x:c>
      <x:c r="I11" s="11" t="n">
        <x:f>'Rate sources'!E10</x:f>
        <x:v>875</x:v>
      </x:c>
      <x:c r="J11" s="11" t="n">
        <x:f>'Rate sources'!F10</x:f>
        <x:v>2245</x:v>
      </x:c>
      <x:c r="K11" s="11" t="n">
        <x:f>'Rate sources'!D10</x:f>
        <x:v>1368</x:v>
      </x:c>
      <x:c r="L11" s="11" t="n">
        <x:f>'Rate sources'!E10</x:f>
        <x:v>875</x:v>
      </x:c>
      <x:c r="M11" s="11" t="n">
        <x:f>'Rate sources'!F10</x:f>
        <x:v>2245</x:v>
      </x:c>
      <x:c r="N11" s="2"/>
    </x:row>
    <x:row r="12" ht="42" customHeight="1">
      <x:c r="A12" s="12" t="str">
        <x:v>Life-X</x:v>
      </x:c>
      <x:c r="B12" s="12" t="str">
        <x:v>MM 2500</x:v>
      </x:c>
      <x:c r="C12" s="12" t="str">
        <x:v>Major medical</x:v>
      </x:c>
      <x:c r="D12" s="12" t="str">
        <x:v>PHCS PPO</x:v>
      </x:c>
      <x:c r="E12" s="10" t="n">
        <x:f>'Rate sources'!D11</x:f>
        <x:v>1194</x:v>
      </x:c>
      <x:c r="F12" s="10" t="n">
        <x:f>'Rate sources'!E11</x:f>
        <x:v>758</x:v>
      </x:c>
      <x:c r="G12" s="10" t="n">
        <x:f>'Rate sources'!F11</x:f>
        <x:v>1907</x:v>
      </x:c>
      <x:c r="H12" s="10" t="n">
        <x:f>'Rate sources'!D11</x:f>
        <x:v>1194</x:v>
      </x:c>
      <x:c r="I12" s="10" t="n">
        <x:f>'Rate sources'!E11</x:f>
        <x:v>758</x:v>
      </x:c>
      <x:c r="J12" s="10" t="n">
        <x:f>'Rate sources'!F11</x:f>
        <x:v>1907</x:v>
      </x:c>
      <x:c r="K12" s="10" t="n">
        <x:f>'Rate sources'!D11</x:f>
        <x:v>1194</x:v>
      </x:c>
      <x:c r="L12" s="10" t="n">
        <x:f>'Rate sources'!E11</x:f>
        <x:v>758</x:v>
      </x:c>
      <x:c r="M12" s="10" t="n">
        <x:f>'Rate sources'!F11</x:f>
        <x:v>1907</x:v>
      </x:c>
      <x:c r="N12" s="2"/>
    </x:row>
    <x:row r="13" ht="42" customHeight="1">
      <x:c r="A13" s="13" t="str">
        <x:v>EnrollPrime</x:v>
      </x:c>
      <x:c r="B13" s="13" t="str">
        <x:v>MedPerformance 3500 Classic</x:v>
      </x:c>
      <x:c r="C13" s="13" t="str">
        <x:v>Major medical</x:v>
      </x:c>
      <x:c r="D13" s="13" t="str">
        <x:v>Cigna PPO</x:v>
      </x:c>
      <x:c r="E13" s="11" t="n">
        <x:f>'Rate sources'!D12</x:f>
        <x:v>1311.79</x:v>
      </x:c>
      <x:c r="F13" s="11" t="n">
        <x:f>'Rate sources'!E12</x:f>
        <x:v>807.98</x:v>
      </x:c>
      <x:c r="G13" s="11" t="n">
        <x:f>'Rate sources'!F12</x:f>
        <x:v>2163.84</x:v>
      </x:c>
      <x:c r="H13" s="11" t="n">
        <x:f>'Rate sources'!D12</x:f>
        <x:v>1311.79</x:v>
      </x:c>
      <x:c r="I13" s="11" t="n">
        <x:f>'Rate sources'!E12</x:f>
        <x:v>807.98</x:v>
      </x:c>
      <x:c r="J13" s="11" t="n">
        <x:f>'Rate sources'!F12</x:f>
        <x:v>2163.84</x:v>
      </x:c>
      <x:c r="K13" s="11" t="n">
        <x:f>'Rate sources'!D12</x:f>
        <x:v>1311.79</x:v>
      </x:c>
      <x:c r="L13" s="11" t="n">
        <x:f>'Rate sources'!E12</x:f>
        <x:v>807.98</x:v>
      </x:c>
      <x:c r="M13" s="11" t="n">
        <x:f>'Rate sources'!F12</x:f>
        <x:v>2163.84</x:v>
      </x:c>
      <x:c r="N13" s="2"/>
    </x:row>
    <x:row r="14" ht="42" customHeight="1">
      <x:c r="A14" s="12" t="str">
        <x:v>Life-X</x:v>
      </x:c>
      <x:c r="B14" s="12" t="str">
        <x:v>MM 3500</x:v>
      </x:c>
      <x:c r="C14" s="12" t="str">
        <x:v>Major medical</x:v>
      </x:c>
      <x:c r="D14" s="12" t="str">
        <x:v>PHCS PPO</x:v>
      </x:c>
      <x:c r="E14" s="10" t="n">
        <x:f>'Rate sources'!D13</x:f>
        <x:v>1111</x:v>
      </x:c>
      <x:c r="F14" s="10" t="n">
        <x:f>'Rate sources'!E13</x:f>
        <x:v>708</x:v>
      </x:c>
      <x:c r="G14" s="10" t="n">
        <x:f>'Rate sources'!F13</x:f>
        <x:v>1723</x:v>
      </x:c>
      <x:c r="H14" s="10" t="n">
        <x:f>'Rate sources'!D13</x:f>
        <x:v>1111</x:v>
      </x:c>
      <x:c r="I14" s="10" t="n">
        <x:f>'Rate sources'!E13</x:f>
        <x:v>708</x:v>
      </x:c>
      <x:c r="J14" s="10" t="n">
        <x:f>'Rate sources'!F13</x:f>
        <x:v>1723</x:v>
      </x:c>
      <x:c r="K14" s="10" t="n">
        <x:f>'Rate sources'!D13</x:f>
        <x:v>1111</x:v>
      </x:c>
      <x:c r="L14" s="10" t="n">
        <x:f>'Rate sources'!E13</x:f>
        <x:v>708</x:v>
      </x:c>
      <x:c r="M14" s="10" t="n">
        <x:f>'Rate sources'!F13</x:f>
        <x:v>1723</x:v>
      </x:c>
      <x:c r="N14" s="2"/>
    </x:row>
    <x:row r="15" ht="42" customHeight="1">
      <x:c r="A15" s="13" t="str">
        <x:v>Life-X</x:v>
      </x:c>
      <x:c r="B15" s="13" t="str">
        <x:v>MM 4900</x:v>
      </x:c>
      <x:c r="C15" s="13" t="str">
        <x:v>Major medical</x:v>
      </x:c>
      <x:c r="D15" s="13" t="str">
        <x:v>PHCS PPO</x:v>
      </x:c>
      <x:c r="E15" s="11" t="n">
        <x:f>'Rate sources'!D14</x:f>
        <x:v>1021</x:v>
      </x:c>
      <x:c r="F15" s="11" t="n">
        <x:f>'Rate sources'!E14</x:f>
        <x:v>658</x:v>
      </x:c>
      <x:c r="G15" s="11" t="n">
        <x:f>'Rate sources'!F14</x:f>
        <x:v>1680</x:v>
      </x:c>
      <x:c r="H15" s="11" t="n">
        <x:f>'Rate sources'!D14</x:f>
        <x:v>1021</x:v>
      </x:c>
      <x:c r="I15" s="11" t="n">
        <x:f>'Rate sources'!E14</x:f>
        <x:v>658</x:v>
      </x:c>
      <x:c r="J15" s="11" t="n">
        <x:f>'Rate sources'!F14</x:f>
        <x:v>1680</x:v>
      </x:c>
      <x:c r="K15" s="11" t="n">
        <x:f>'Rate sources'!D14</x:f>
        <x:v>1021</x:v>
      </x:c>
      <x:c r="L15" s="11" t="n">
        <x:f>'Rate sources'!E14</x:f>
        <x:v>658</x:v>
      </x:c>
      <x:c r="M15" s="11" t="n">
        <x:f>'Rate sources'!F14</x:f>
        <x:v>1680</x:v>
      </x:c>
      <x:c r="N15" s="2"/>
    </x:row>
    <x:row r="16" ht="42" customHeight="1">
      <x:c r="A16" s="12" t="str">
        <x:v>EnrollPrime</x:v>
      </x:c>
      <x:c r="B16" s="12" t="str">
        <x:v>MedPerformance 5000 Classic</x:v>
      </x:c>
      <x:c r="C16" s="12" t="str">
        <x:v>Major medical</x:v>
      </x:c>
      <x:c r="D16" s="12" t="str">
        <x:v>Cigna PPO</x:v>
      </x:c>
      <x:c r="E16" s="10" t="n">
        <x:f>'Rate sources'!D15</x:f>
        <x:v>1239.8</x:v>
      </x:c>
      <x:c r="F16" s="10" t="n">
        <x:f>'Rate sources'!E15</x:f>
        <x:v>765.65</x:v>
      </x:c>
      <x:c r="G16" s="10" t="n">
        <x:f>'Rate sources'!F15</x:f>
        <x:v>2039.41</x:v>
      </x:c>
      <x:c r="H16" s="10" t="n">
        <x:f>'Rate sources'!D15</x:f>
        <x:v>1239.8</x:v>
      </x:c>
      <x:c r="I16" s="10" t="n">
        <x:f>'Rate sources'!E15</x:f>
        <x:v>765.65</x:v>
      </x:c>
      <x:c r="J16" s="10" t="n">
        <x:f>'Rate sources'!F15</x:f>
        <x:v>2039.41</x:v>
      </x:c>
      <x:c r="K16" s="10" t="n">
        <x:f>'Rate sources'!D15</x:f>
        <x:v>1239.8</x:v>
      </x:c>
      <x:c r="L16" s="10" t="n">
        <x:f>'Rate sources'!E15</x:f>
        <x:v>765.65</x:v>
      </x:c>
      <x:c r="M16" s="10" t="n">
        <x:f>'Rate sources'!F15</x:f>
        <x:v>2039.41</x:v>
      </x:c>
      <x:c r="N16" s="2"/>
    </x:row>
    <x:row r="17" ht="42" customHeight="1">
      <x:c r="A17" s="13" t="str">
        <x:v>Life-X</x:v>
      </x:c>
      <x:c r="B17" s="13" t="str">
        <x:v>MM 7250</x:v>
      </x:c>
      <x:c r="C17" s="13" t="str">
        <x:v>Major medical</x:v>
      </x:c>
      <x:c r="D17" s="13" t="str">
        <x:v>PHCS PPO</x:v>
      </x:c>
      <x:c r="E17" s="11" t="n">
        <x:f>'Rate sources'!D16</x:f>
        <x:v>849</x:v>
      </x:c>
      <x:c r="F17" s="11" t="n">
        <x:f>'Rate sources'!E16</x:f>
        <x:v>559</x:v>
      </x:c>
      <x:c r="G17" s="11" t="n">
        <x:f>'Rate sources'!F16</x:f>
        <x:v>1381</x:v>
      </x:c>
      <x:c r="H17" s="11" t="n">
        <x:f>'Rate sources'!D16</x:f>
        <x:v>849</x:v>
      </x:c>
      <x:c r="I17" s="11" t="n">
        <x:f>'Rate sources'!E16</x:f>
        <x:v>559</x:v>
      </x:c>
      <x:c r="J17" s="11" t="n">
        <x:f>'Rate sources'!F16</x:f>
        <x:v>1381</x:v>
      </x:c>
      <x:c r="K17" s="11" t="n">
        <x:f>'Rate sources'!D16</x:f>
        <x:v>849</x:v>
      </x:c>
      <x:c r="L17" s="11" t="n">
        <x:f>'Rate sources'!E16</x:f>
        <x:v>559</x:v>
      </x:c>
      <x:c r="M17" s="11" t="n">
        <x:f>'Rate sources'!F16</x:f>
        <x:v>1381</x:v>
      </x:c>
      <x:c r="N17" s="2"/>
    </x:row>
    <x:row r="18" ht="42" customHeight="1">
      <x:c r="A18" s="12" t="str">
        <x:v>EnrollPrime</x:v>
      </x:c>
      <x:c r="B18" s="12" t="str">
        <x:v>MedPerformance 7350 Value</x:v>
      </x:c>
      <x:c r="C18" s="12" t="str">
        <x:v>Major medical</x:v>
      </x:c>
      <x:c r="D18" s="12" t="str">
        <x:v>Cigna PPO</x:v>
      </x:c>
      <x:c r="E18" s="10" t="n">
        <x:f>'Rate sources'!D17</x:f>
        <x:v>1099.76</x:v>
      </x:c>
      <x:c r="F18" s="10" t="n">
        <x:f>'Rate sources'!E17</x:f>
        <x:v>683.3</x:v>
      </x:c>
      <x:c r="G18" s="10" t="n">
        <x:f>'Rate sources'!F17</x:f>
        <x:v>1797.38</x:v>
      </x:c>
      <x:c r="H18" s="10" t="n">
        <x:f>'Rate sources'!D17</x:f>
        <x:v>1099.76</x:v>
      </x:c>
      <x:c r="I18" s="10" t="n">
        <x:f>'Rate sources'!E17</x:f>
        <x:v>683.3</x:v>
      </x:c>
      <x:c r="J18" s="10" t="n">
        <x:f>'Rate sources'!F17</x:f>
        <x:v>1797.38</x:v>
      </x:c>
      <x:c r="K18" s="10" t="n">
        <x:f>'Rate sources'!D17</x:f>
        <x:v>1099.76</x:v>
      </x:c>
      <x:c r="L18" s="10" t="n">
        <x:f>'Rate sources'!E17</x:f>
        <x:v>683.3</x:v>
      </x:c>
      <x:c r="M18" s="10" t="n">
        <x:f>'Rate sources'!F17</x:f>
        <x:v>1797.38</x:v>
      </x:c>
      <x:c r="N18" s="2"/>
    </x:row>
    <x:row r="19" ht="42" customHeight="1">
      <x:c r="A19" s="13" t="str">
        <x:v>Amerus</x:v>
      </x:c>
      <x:c r="B19" s="13" t="str">
        <x:v>Ultimate EPO 1500</x:v>
      </x:c>
      <x:c r="C19" s="13" t="str">
        <x:v>Major medical</x:v>
      </x:c>
      <x:c r="D19" s="13" t="str">
        <x:v>Cigna PPO network; routine OON benefits excluded by EPO design</x:v>
      </x:c>
      <x:c r="E19" s="11" t="n">
        <x:f>'Rate sources'!D18</x:f>
        <x:v>1549</x:v>
      </x:c>
      <x:c r="F19" s="11" t="n">
        <x:f>'Rate sources'!E18</x:f>
        <x:v>799</x:v>
      </x:c>
      <x:c r="G19" s="11" t="n">
        <x:f>'Rate sources'!F18</x:f>
        <x:v>2250</x:v>
      </x:c>
      <x:c r="H19" s="11" t="n">
        <x:f>'Rate sources'!D18</x:f>
        <x:v>1549</x:v>
      </x:c>
      <x:c r="I19" s="11" t="n">
        <x:f>'Rate sources'!E18</x:f>
        <x:v>799</x:v>
      </x:c>
      <x:c r="J19" s="11" t="n">
        <x:f>'Rate sources'!F18</x:f>
        <x:v>2250</x:v>
      </x:c>
      <x:c r="K19" s="11" t="n">
        <x:f>'Rate sources'!D18</x:f>
        <x:v>1549</x:v>
      </x:c>
      <x:c r="L19" s="11" t="n">
        <x:f>'Rate sources'!E18</x:f>
        <x:v>799</x:v>
      </x:c>
      <x:c r="M19" s="11" t="n">
        <x:f>'Rate sources'!F18</x:f>
        <x:v>2250</x:v>
      </x:c>
      <x:c r="N19" s="2"/>
    </x:row>
    <x:row r="20" ht="42" customHeight="1">
      <x:c r="A20" s="12" t="str">
        <x:v>Amerus</x:v>
      </x:c>
      <x:c r="B20" s="12" t="str">
        <x:v>Ultimate EPO 3500</x:v>
      </x:c>
      <x:c r="C20" s="12" t="str">
        <x:v>Major medical</x:v>
      </x:c>
      <x:c r="D20" s="12" t="str">
        <x:v>Cigna PPO network; routine OON benefits excluded by EPO design</x:v>
      </x:c>
      <x:c r="E20" s="10" t="n">
        <x:f>'Rate sources'!D19</x:f>
        <x:v>1449.95</x:v>
      </x:c>
      <x:c r="F20" s="10" t="n">
        <x:f>'Rate sources'!E19</x:f>
        <x:v>699.95</x:v>
      </x:c>
      <x:c r="G20" s="10" t="n">
        <x:f>'Rate sources'!F19</x:f>
        <x:v>2149.95</x:v>
      </x:c>
      <x:c r="H20" s="10" t="n">
        <x:f>'Rate sources'!D19</x:f>
        <x:v>1449.95</x:v>
      </x:c>
      <x:c r="I20" s="10" t="n">
        <x:f>'Rate sources'!E19</x:f>
        <x:v>699.95</x:v>
      </x:c>
      <x:c r="J20" s="10" t="n">
        <x:f>'Rate sources'!F19</x:f>
        <x:v>2149.95</x:v>
      </x:c>
      <x:c r="K20" s="10" t="n">
        <x:f>'Rate sources'!D19</x:f>
        <x:v>1449.95</x:v>
      </x:c>
      <x:c r="L20" s="10" t="n">
        <x:f>'Rate sources'!E19</x:f>
        <x:v>699.95</x:v>
      </x:c>
      <x:c r="M20" s="10" t="n">
        <x:f>'Rate sources'!F19</x:f>
        <x:v>2149.95</x:v>
      </x:c>
      <x:c r="N20" s="2"/>
    </x:row>
    <x:row r="21" ht="42" customHeight="1">
      <x:c r="A21" s="13" t="str">
        <x:v>Life-X</x:v>
      </x:c>
      <x:c r="B21" s="13" t="str">
        <x:v>HSA 3500</x:v>
      </x:c>
      <x:c r="C21" s="13" t="str">
        <x:v>HSA</x:v>
      </x:c>
      <x:c r="D21" s="13" t="str">
        <x:v>PHCS PPO</x:v>
      </x:c>
      <x:c r="E21" s="11" t="n">
        <x:f>'Rate sources'!D20</x:f>
        <x:v>901</x:v>
      </x:c>
      <x:c r="F21" s="11" t="n">
        <x:f>'Rate sources'!E20</x:f>
        <x:v>584</x:v>
      </x:c>
      <x:c r="G21" s="11" t="n">
        <x:f>'Rate sources'!F20</x:f>
        <x:v>1478</x:v>
      </x:c>
      <x:c r="H21" s="11" t="n">
        <x:f>'Rate sources'!D20</x:f>
        <x:v>901</x:v>
      </x:c>
      <x:c r="I21" s="11" t="n">
        <x:f>'Rate sources'!E20</x:f>
        <x:v>584</x:v>
      </x:c>
      <x:c r="J21" s="11" t="n">
        <x:f>'Rate sources'!F20</x:f>
        <x:v>1478</x:v>
      </x:c>
      <x:c r="K21" s="11" t="n">
        <x:f>'Rate sources'!D20</x:f>
        <x:v>901</x:v>
      </x:c>
      <x:c r="L21" s="11" t="n">
        <x:f>'Rate sources'!E20</x:f>
        <x:v>584</x:v>
      </x:c>
      <x:c r="M21" s="11" t="n">
        <x:f>'Rate sources'!F20</x:f>
        <x:v>1478</x:v>
      </x:c>
      <x:c r="N21" s="2"/>
    </x:row>
    <x:row r="22" ht="42" customHeight="1">
      <x:c r="A22" s="12" t="str">
        <x:v>EnrollPrime</x:v>
      </x:c>
      <x:c r="B22" s="12" t="str">
        <x:v>MedPerformance 5000 HSA</x:v>
      </x:c>
      <x:c r="C22" s="12" t="str">
        <x:v>HSA</x:v>
      </x:c>
      <x:c r="D22" s="12" t="str">
        <x:v>Cigna PPO</x:v>
      </x:c>
      <x:c r="E22" s="10" t="n">
        <x:f>'Rate sources'!D21</x:f>
        <x:v>1144.18</x:v>
      </x:c>
      <x:c r="F22" s="10" t="n">
        <x:f>'Rate sources'!E21</x:f>
        <x:v>709.42</x:v>
      </x:c>
      <x:c r="G22" s="10" t="n">
        <x:f>'Rate sources'!F21</x:f>
        <x:v>1874.15</x:v>
      </x:c>
      <x:c r="H22" s="10" t="n">
        <x:f>'Rate sources'!D21</x:f>
        <x:v>1144.18</x:v>
      </x:c>
      <x:c r="I22" s="10" t="n">
        <x:f>'Rate sources'!E21</x:f>
        <x:v>709.42</x:v>
      </x:c>
      <x:c r="J22" s="10" t="n">
        <x:f>'Rate sources'!F21</x:f>
        <x:v>1874.15</x:v>
      </x:c>
      <x:c r="K22" s="10" t="n">
        <x:f>'Rate sources'!D21</x:f>
        <x:v>1144.18</x:v>
      </x:c>
      <x:c r="L22" s="10" t="n">
        <x:f>'Rate sources'!E21</x:f>
        <x:v>709.42</x:v>
      </x:c>
      <x:c r="M22" s="10" t="n">
        <x:f>'Rate sources'!F21</x:f>
        <x:v>1874.15</x:v>
      </x:c>
      <x:c r="N22" s="2"/>
    </x:row>
    <x:row r="23" ht="42" customHeight="1">
      <x:c r="A23" s="13" t="str">
        <x:v>Life-X</x:v>
      </x:c>
      <x:c r="B23" s="13" t="str">
        <x:v>HSA 5000</x:v>
      </x:c>
      <x:c r="C23" s="13" t="str">
        <x:v>HSA</x:v>
      </x:c>
      <x:c r="D23" s="13" t="str">
        <x:v>PHCS PPO</x:v>
      </x:c>
      <x:c r="E23" s="11" t="n">
        <x:f>'Rate sources'!D22</x:f>
        <x:v>871</x:v>
      </x:c>
      <x:c r="F23" s="11" t="n">
        <x:f>'Rate sources'!E22</x:f>
        <x:v>566</x:v>
      </x:c>
      <x:c r="G23" s="11" t="n">
        <x:f>'Rate sources'!F22</x:f>
        <x:v>1426</x:v>
      </x:c>
      <x:c r="H23" s="11" t="n">
        <x:f>'Rate sources'!D22</x:f>
        <x:v>871</x:v>
      </x:c>
      <x:c r="I23" s="11" t="n">
        <x:f>'Rate sources'!E22</x:f>
        <x:v>566</x:v>
      </x:c>
      <x:c r="J23" s="11" t="n">
        <x:f>'Rate sources'!F22</x:f>
        <x:v>1426</x:v>
      </x:c>
      <x:c r="K23" s="11" t="n">
        <x:f>'Rate sources'!D22</x:f>
        <x:v>871</x:v>
      </x:c>
      <x:c r="L23" s="11" t="n">
        <x:f>'Rate sources'!E22</x:f>
        <x:v>566</x:v>
      </x:c>
      <x:c r="M23" s="11" t="n">
        <x:f>'Rate sources'!F22</x:f>
        <x:v>1426</x:v>
      </x:c>
      <x:c r="N23" s="2"/>
    </x:row>
    <x:row r="24" ht="42" customHeight="1">
      <x:c r="A24" s="12" t="str">
        <x:v>Amerus</x:v>
      </x:c>
      <x:c r="B24" s="12" t="str">
        <x:v>Ultimate HSA</x:v>
      </x:c>
      <x:c r="C24" s="12" t="str">
        <x:v>HSA</x:v>
      </x:c>
      <x:c r="D24" s="12" t="str">
        <x:v>Cigna PPO; rate not supplied</x:v>
      </x:c>
      <x:c r="E24" s="10" t="str">
        <x:f>'Rate sources'!D23</x:f>
        <x:v>Unverified</x:v>
      </x:c>
      <x:c r="F24" s="10" t="str">
        <x:f>'Rate sources'!E23</x:f>
        <x:v>Unverified</x:v>
      </x:c>
      <x:c r="G24" s="10" t="str">
        <x:f>'Rate sources'!F23</x:f>
        <x:v>Unverified</x:v>
      </x:c>
      <x:c r="H24" s="10" t="str">
        <x:f>'Rate sources'!D23</x:f>
        <x:v>Unverified</x:v>
      </x:c>
      <x:c r="I24" s="10" t="str">
        <x:f>'Rate sources'!E23</x:f>
        <x:v>Unverified</x:v>
      </x:c>
      <x:c r="J24" s="10" t="str">
        <x:f>'Rate sources'!F23</x:f>
        <x:v>Unverified</x:v>
      </x:c>
      <x:c r="K24" s="10" t="str">
        <x:f>'Rate sources'!D23</x:f>
        <x:v>Unverified</x:v>
      </x:c>
      <x:c r="L24" s="10" t="str">
        <x:f>'Rate sources'!E23</x:f>
        <x:v>Unverified</x:v>
      </x:c>
      <x:c r="M24" s="10" t="str">
        <x:f>'Rate sources'!F23</x:f>
        <x:v>Unverified</x:v>
      </x:c>
      <x:c r="N24" s="2"/>
    </x:row>
    <x:row r="25" ht="42" customHeight="1">
      <x:c r="A25" s="13" t="str">
        <x:v>Life-X</x:v>
      </x:c>
      <x:c r="B25" s="13" t="str">
        <x:v>HSA 8300</x:v>
      </x:c>
      <x:c r="C25" s="13" t="str">
        <x:v>HSA</x:v>
      </x:c>
      <x:c r="D25" s="13" t="str">
        <x:v>PHCS PPO</x:v>
      </x:c>
      <x:c r="E25" s="11" t="n">
        <x:f>'Rate sources'!D24</x:f>
        <x:v>821.6</x:v>
      </x:c>
      <x:c r="F25" s="11" t="n">
        <x:f>'Rate sources'!E24</x:f>
        <x:v>519</x:v>
      </x:c>
      <x:c r="G25" s="11" t="n">
        <x:f>'Rate sources'!F24</x:f>
        <x:v>1129.38</x:v>
      </x:c>
      <x:c r="H25" s="11" t="n">
        <x:f>'Rate sources'!D24</x:f>
        <x:v>821.6</x:v>
      </x:c>
      <x:c r="I25" s="11" t="n">
        <x:f>'Rate sources'!E24</x:f>
        <x:v>519</x:v>
      </x:c>
      <x:c r="J25" s="11" t="n">
        <x:f>'Rate sources'!F24</x:f>
        <x:v>1129.38</x:v>
      </x:c>
      <x:c r="K25" s="11" t="n">
        <x:f>'Rate sources'!D24</x:f>
        <x:v>821.6</x:v>
      </x:c>
      <x:c r="L25" s="11" t="n">
        <x:f>'Rate sources'!E24</x:f>
        <x:v>519</x:v>
      </x:c>
      <x:c r="M25" s="11" t="n">
        <x:f>'Rate sources'!F24</x:f>
        <x:v>1129.38</x:v>
      </x:c>
      <x:c r="N25" s="2"/>
    </x:row>
    <x:row r="26" ht="42" customHeight="1">
      <x:c r="A26" s="12" t="str">
        <x:v>EnrollPrime</x:v>
      </x:c>
      <x:c r="B26" s="12" t="str">
        <x:v>MedAccess MVP Basic</x:v>
      </x:c>
      <x:c r="C26" s="12" t="str">
        <x:v>Limited copay</x:v>
      </x:c>
      <x:c r="D26" s="12" t="str">
        <x:v>First Health</x:v>
      </x:c>
      <x:c r="E26" s="10" t="n">
        <x:f>'Rate sources'!D25</x:f>
        <x:v>670.15</x:v>
      </x:c>
      <x:c r="F26" s="10" t="n">
        <x:f>'Rate sources'!E25</x:f>
        <x:v>550</x:v>
      </x:c>
      <x:c r="G26" s="10" t="n">
        <x:f>'Rate sources'!F25</x:f>
        <x:v>1090</x:v>
      </x:c>
      <x:c r="H26" s="10" t="n">
        <x:f>'Rate sources'!D25</x:f>
        <x:v>670.15</x:v>
      </x:c>
      <x:c r="I26" s="10" t="n">
        <x:f>'Rate sources'!E25</x:f>
        <x:v>550</x:v>
      </x:c>
      <x:c r="J26" s="10" t="n">
        <x:f>'Rate sources'!F25</x:f>
        <x:v>1090</x:v>
      </x:c>
      <x:c r="K26" s="10" t="n">
        <x:f>'Rate sources'!D25</x:f>
        <x:v>670.15</x:v>
      </x:c>
      <x:c r="L26" s="10" t="n">
        <x:f>'Rate sources'!E25</x:f>
        <x:v>550</x:v>
      </x:c>
      <x:c r="M26" s="10" t="n">
        <x:f>'Rate sources'!F25</x:f>
        <x:v>1090</x:v>
      </x:c>
      <x:c r="N26" s="2"/>
    </x:row>
    <x:row r="27" ht="42" customHeight="1">
      <x:c r="A27" s="13" t="str">
        <x:v>EnrollPrime</x:v>
      </x:c>
      <x:c r="B27" s="13" t="str">
        <x:v>MedAccess MVP Pro</x:v>
      </x:c>
      <x:c r="C27" s="13" t="str">
        <x:v>Limited copay</x:v>
      </x:c>
      <x:c r="D27" s="13" t="str">
        <x:v>First Health</x:v>
      </x:c>
      <x:c r="E27" s="11" t="n">
        <x:f>'Rate sources'!D26</x:f>
        <x:v>886.57</x:v>
      </x:c>
      <x:c r="F27" s="11" t="n">
        <x:f>'Rate sources'!E26</x:f>
        <x:v>714.29</x:v>
      </x:c>
      <x:c r="G27" s="11" t="n">
        <x:f>'Rate sources'!F26</x:f>
        <x:v>1564.29</x:v>
      </x:c>
      <x:c r="H27" s="11" t="n">
        <x:f>'Rate sources'!D26</x:f>
        <x:v>886.57</x:v>
      </x:c>
      <x:c r="I27" s="11" t="n">
        <x:f>'Rate sources'!E26</x:f>
        <x:v>714.29</x:v>
      </x:c>
      <x:c r="J27" s="11" t="n">
        <x:f>'Rate sources'!F26</x:f>
        <x:v>1564.29</x:v>
      </x:c>
      <x:c r="K27" s="11" t="n">
        <x:f>'Rate sources'!D26</x:f>
        <x:v>886.57</x:v>
      </x:c>
      <x:c r="L27" s="11" t="n">
        <x:f>'Rate sources'!E26</x:f>
        <x:v>714.29</x:v>
      </x:c>
      <x:c r="M27" s="11" t="n">
        <x:f>'Rate sources'!F26</x:f>
        <x:v>1564.29</x:v>
      </x:c>
      <x:c r="N27" s="2"/>
    </x:row>
    <x:row r="28" ht="42" customHeight="1">
      <x:c r="A28" s="12" t="str">
        <x:v>EnrollPrime</x:v>
      </x:c>
      <x:c r="B28" s="12" t="str">
        <x:v>MedMax 250</x:v>
      </x:c>
      <x:c r="C28" s="12" t="str">
        <x:v>Limited copay</x:v>
      </x:c>
      <x:c r="D28" s="12" t="str">
        <x:v>First Health PPO</x:v>
      </x:c>
      <x:c r="E28" s="10" t="n">
        <x:f>'Rate sources'!D27</x:f>
        <x:v>739</x:v>
      </x:c>
      <x:c r="F28" s="10" t="n">
        <x:f>'Rate sources'!E27</x:f>
        <x:v>469</x:v>
      </x:c>
      <x:c r="G28" s="10" t="n">
        <x:f>'Rate sources'!F27</x:f>
        <x:v>1049</x:v>
      </x:c>
      <x:c r="H28" s="10" t="n">
        <x:f>'Rate sources'!D27</x:f>
        <x:v>739</x:v>
      </x:c>
      <x:c r="I28" s="10" t="n">
        <x:f>'Rate sources'!E27</x:f>
        <x:v>469</x:v>
      </x:c>
      <x:c r="J28" s="10" t="n">
        <x:f>'Rate sources'!F27</x:f>
        <x:v>1049</x:v>
      </x:c>
      <x:c r="K28" s="10" t="n">
        <x:f>'Rate sources'!D27</x:f>
        <x:v>739</x:v>
      </x:c>
      <x:c r="L28" s="10" t="n">
        <x:f>'Rate sources'!E27</x:f>
        <x:v>469</x:v>
      </x:c>
      <x:c r="M28" s="10" t="n">
        <x:f>'Rate sources'!F27</x:f>
        <x:v>1049</x:v>
      </x:c>
      <x:c r="N28" s="2"/>
    </x:row>
    <x:row r="29" ht="42" customHeight="1">
      <x:c r="A29" s="13" t="str">
        <x:v>EnrollPrime</x:v>
      </x:c>
      <x:c r="B29" s="13" t="str">
        <x:v>MedMax 500</x:v>
      </x:c>
      <x:c r="C29" s="13" t="str">
        <x:v>Limited copay</x:v>
      </x:c>
      <x:c r="D29" s="13" t="str">
        <x:v>First Health PPO</x:v>
      </x:c>
      <x:c r="E29" s="11" t="n">
        <x:f>'Rate sources'!D28</x:f>
        <x:v>699</x:v>
      </x:c>
      <x:c r="F29" s="11" t="n">
        <x:f>'Rate sources'!E28</x:f>
        <x:v>439</x:v>
      </x:c>
      <x:c r="G29" s="11" t="n">
        <x:f>'Rate sources'!F28</x:f>
        <x:v>1019</x:v>
      </x:c>
      <x:c r="H29" s="11" t="n">
        <x:f>'Rate sources'!D28</x:f>
        <x:v>699</x:v>
      </x:c>
      <x:c r="I29" s="11" t="n">
        <x:f>'Rate sources'!E28</x:f>
        <x:v>439</x:v>
      </x:c>
      <x:c r="J29" s="11" t="n">
        <x:f>'Rate sources'!F28</x:f>
        <x:v>1019</x:v>
      </x:c>
      <x:c r="K29" s="11" t="n">
        <x:f>'Rate sources'!D28</x:f>
        <x:v>699</x:v>
      </x:c>
      <x:c r="L29" s="11" t="n">
        <x:f>'Rate sources'!E28</x:f>
        <x:v>439</x:v>
      </x:c>
      <x:c r="M29" s="11" t="n">
        <x:f>'Rate sources'!F28</x:f>
        <x:v>1019</x:v>
      </x:c>
      <x:c r="N29" s="2"/>
    </x:row>
    <x:row r="30" ht="42" customHeight="1">
      <x:c r="A30" s="12" t="str">
        <x:v>Life-X</x:v>
      </x:c>
      <x:c r="B30" s="12" t="str">
        <x:v>PHCS PPO 500</x:v>
      </x:c>
      <x:c r="C30" s="12" t="str">
        <x:v>Limited copay</x:v>
      </x:c>
      <x:c r="D30" s="12" t="str">
        <x:v>PHCS PPO</x:v>
      </x:c>
      <x:c r="E30" s="10" t="n">
        <x:f>'Rate sources'!D29</x:f>
        <x:v>819</x:v>
      </x:c>
      <x:c r="F30" s="10" t="n">
        <x:f>'Rate sources'!E29</x:f>
        <x:v>519</x:v>
      </x:c>
      <x:c r="G30" s="10" t="n">
        <x:f>'Rate sources'!F29</x:f>
        <x:v>1169</x:v>
      </x:c>
      <x:c r="H30" s="10" t="n">
        <x:f>'Rate sources'!D29</x:f>
        <x:v>819</x:v>
      </x:c>
      <x:c r="I30" s="10" t="n">
        <x:f>'Rate sources'!E29</x:f>
        <x:v>519</x:v>
      </x:c>
      <x:c r="J30" s="10" t="n">
        <x:f>'Rate sources'!F29</x:f>
        <x:v>1169</x:v>
      </x:c>
      <x:c r="K30" s="10" t="n">
        <x:f>'Rate sources'!D29</x:f>
        <x:v>819</x:v>
      </x:c>
      <x:c r="L30" s="10" t="n">
        <x:f>'Rate sources'!E29</x:f>
        <x:v>519</x:v>
      </x:c>
      <x:c r="M30" s="10" t="n">
        <x:f>'Rate sources'!F29</x:f>
        <x:v>1169</x:v>
      </x:c>
      <x:c r="N30" s="2"/>
    </x:row>
    <x:row r="31" ht="42" customHeight="1">
      <x:c r="A31" s="13" t="str">
        <x:v>Life-X</x:v>
      </x:c>
      <x:c r="B31" s="13" t="str">
        <x:v>VL 500</x:v>
      </x:c>
      <x:c r="C31" s="13" t="str">
        <x:v>Limited copay</x:v>
      </x:c>
      <x:c r="D31" s="13" t="str">
        <x:v>PHCS PPO</x:v>
      </x:c>
      <x:c r="E31" s="11" t="n">
        <x:f>'Rate sources'!D30</x:f>
        <x:v>689</x:v>
      </x:c>
      <x:c r="F31" s="11" t="n">
        <x:f>'Rate sources'!E30</x:f>
        <x:v>421</x:v>
      </x:c>
      <x:c r="G31" s="11" t="n">
        <x:f>'Rate sources'!F30</x:f>
        <x:v>1019</x:v>
      </x:c>
      <x:c r="H31" s="11" t="n">
        <x:f>'Rate sources'!D30</x:f>
        <x:v>689</x:v>
      </x:c>
      <x:c r="I31" s="11" t="n">
        <x:f>'Rate sources'!E30</x:f>
        <x:v>421</x:v>
      </x:c>
      <x:c r="J31" s="11" t="n">
        <x:f>'Rate sources'!F30</x:f>
        <x:v>1019</x:v>
      </x:c>
      <x:c r="K31" s="11" t="n">
        <x:f>'Rate sources'!D30</x:f>
        <x:v>689</x:v>
      </x:c>
      <x:c r="L31" s="11" t="n">
        <x:f>'Rate sources'!E30</x:f>
        <x:v>421</x:v>
      </x:c>
      <x:c r="M31" s="11" t="n">
        <x:f>'Rate sources'!F30</x:f>
        <x:v>1019</x:v>
      </x:c>
      <x:c r="N31" s="2"/>
    </x:row>
    <x:row r="32" ht="42" customHeight="1">
      <x:c r="A32" s="12" t="str">
        <x:v>EnrollPrime</x:v>
      </x:c>
      <x:c r="B32" s="12" t="str">
        <x:v>MedMax 750</x:v>
      </x:c>
      <x:c r="C32" s="12" t="str">
        <x:v>Limited copay</x:v>
      </x:c>
      <x:c r="D32" s="12" t="str">
        <x:v>First Health PPO</x:v>
      </x:c>
      <x:c r="E32" s="10" t="n">
        <x:f>'Rate sources'!D31</x:f>
        <x:v>669</x:v>
      </x:c>
      <x:c r="F32" s="10" t="n">
        <x:f>'Rate sources'!E31</x:f>
        <x:v>419</x:v>
      </x:c>
      <x:c r="G32" s="10" t="n">
        <x:f>'Rate sources'!F31</x:f>
        <x:v>999</x:v>
      </x:c>
      <x:c r="H32" s="10" t="n">
        <x:f>'Rate sources'!D31</x:f>
        <x:v>669</x:v>
      </x:c>
      <x:c r="I32" s="10" t="n">
        <x:f>'Rate sources'!E31</x:f>
        <x:v>419</x:v>
      </x:c>
      <x:c r="J32" s="10" t="n">
        <x:f>'Rate sources'!F31</x:f>
        <x:v>999</x:v>
      </x:c>
      <x:c r="K32" s="10" t="n">
        <x:f>'Rate sources'!D31</x:f>
        <x:v>669</x:v>
      </x:c>
      <x:c r="L32" s="10" t="n">
        <x:f>'Rate sources'!E31</x:f>
        <x:v>419</x:v>
      </x:c>
      <x:c r="M32" s="10" t="n">
        <x:f>'Rate sources'!F31</x:f>
        <x:v>999</x:v>
      </x:c>
      <x:c r="N32" s="2"/>
    </x:row>
    <x:row r="33" ht="42" customHeight="1">
      <x:c r="A33" s="13" t="str">
        <x:v>Life-X</x:v>
      </x:c>
      <x:c r="B33" s="13" t="str">
        <x:v>PHCS PPO 750</x:v>
      </x:c>
      <x:c r="C33" s="13" t="str">
        <x:v>Limited copay</x:v>
      </x:c>
      <x:c r="D33" s="13" t="str">
        <x:v>PHCS PPO</x:v>
      </x:c>
      <x:c r="E33" s="11" t="n">
        <x:f>'Rate sources'!D32</x:f>
        <x:v>789</x:v>
      </x:c>
      <x:c r="F33" s="11" t="n">
        <x:f>'Rate sources'!E32</x:f>
        <x:v>499</x:v>
      </x:c>
      <x:c r="G33" s="11" t="n">
        <x:f>'Rate sources'!F32</x:f>
        <x:v>1149</x:v>
      </x:c>
      <x:c r="H33" s="11" t="n">
        <x:f>'Rate sources'!D32</x:f>
        <x:v>789</x:v>
      </x:c>
      <x:c r="I33" s="11" t="n">
        <x:f>'Rate sources'!E32</x:f>
        <x:v>499</x:v>
      </x:c>
      <x:c r="J33" s="11" t="n">
        <x:f>'Rate sources'!F32</x:f>
        <x:v>1149</x:v>
      </x:c>
      <x:c r="K33" s="11" t="n">
        <x:f>'Rate sources'!D32</x:f>
        <x:v>789</x:v>
      </x:c>
      <x:c r="L33" s="11" t="n">
        <x:f>'Rate sources'!E32</x:f>
        <x:v>499</x:v>
      </x:c>
      <x:c r="M33" s="11" t="n">
        <x:f>'Rate sources'!F32</x:f>
        <x:v>1149</x:v>
      </x:c>
      <x:c r="N33" s="2"/>
    </x:row>
    <x:row r="34" ht="42" customHeight="1">
      <x:c r="A34" s="12" t="str">
        <x:v>Life-X</x:v>
      </x:c>
      <x:c r="B34" s="12" t="str">
        <x:v>VL 750</x:v>
      </x:c>
      <x:c r="C34" s="12" t="str">
        <x:v>Limited copay</x:v>
      </x:c>
      <x:c r="D34" s="12" t="str">
        <x:v>PHCS PPO</x:v>
      </x:c>
      <x:c r="E34" s="10" t="n">
        <x:f>'Rate sources'!D33</x:f>
        <x:v>658</x:v>
      </x:c>
      <x:c r="F34" s="10" t="n">
        <x:f>'Rate sources'!E33</x:f>
        <x:v>401</x:v>
      </x:c>
      <x:c r="G34" s="10" t="n">
        <x:f>'Rate sources'!F33</x:f>
        <x:v>998</x:v>
      </x:c>
      <x:c r="H34" s="10" t="n">
        <x:f>'Rate sources'!D33</x:f>
        <x:v>658</x:v>
      </x:c>
      <x:c r="I34" s="10" t="n">
        <x:f>'Rate sources'!E33</x:f>
        <x:v>401</x:v>
      </x:c>
      <x:c r="J34" s="10" t="n">
        <x:f>'Rate sources'!F33</x:f>
        <x:v>998</x:v>
      </x:c>
      <x:c r="K34" s="10" t="n">
        <x:f>'Rate sources'!D33</x:f>
        <x:v>658</x:v>
      </x:c>
      <x:c r="L34" s="10" t="n">
        <x:f>'Rate sources'!E33</x:f>
        <x:v>401</x:v>
      </x:c>
      <x:c r="M34" s="10" t="n">
        <x:f>'Rate sources'!F33</x:f>
        <x:v>998</x:v>
      </x:c>
      <x:c r="N34" s="2"/>
    </x:row>
    <x:row r="35" ht="42" customHeight="1">
      <x:c r="A35" s="13" t="str">
        <x:v>EnrollPrime</x:v>
      </x:c>
      <x:c r="B35" s="13" t="str">
        <x:v>MedMax 1000</x:v>
      </x:c>
      <x:c r="C35" s="13" t="str">
        <x:v>Limited copay</x:v>
      </x:c>
      <x:c r="D35" s="13" t="str">
        <x:v>First Health PPO</x:v>
      </x:c>
      <x:c r="E35" s="11" t="n">
        <x:f>'Rate sources'!D34</x:f>
        <x:v>649</x:v>
      </x:c>
      <x:c r="F35" s="11" t="n">
        <x:f>'Rate sources'!E34</x:f>
        <x:v>399</x:v>
      </x:c>
      <x:c r="G35" s="11" t="n">
        <x:f>'Rate sources'!F34</x:f>
        <x:v>979</x:v>
      </x:c>
      <x:c r="H35" s="11" t="n">
        <x:f>'Rate sources'!D34</x:f>
        <x:v>649</x:v>
      </x:c>
      <x:c r="I35" s="11" t="n">
        <x:f>'Rate sources'!E34</x:f>
        <x:v>399</x:v>
      </x:c>
      <x:c r="J35" s="11" t="n">
        <x:f>'Rate sources'!F34</x:f>
        <x:v>979</x:v>
      </x:c>
      <x:c r="K35" s="11" t="n">
        <x:f>'Rate sources'!D34</x:f>
        <x:v>649</x:v>
      </x:c>
      <x:c r="L35" s="11" t="n">
        <x:f>'Rate sources'!E34</x:f>
        <x:v>399</x:v>
      </x:c>
      <x:c r="M35" s="11" t="n">
        <x:f>'Rate sources'!F34</x:f>
        <x:v>979</x:v>
      </x:c>
      <x:c r="N35" s="2"/>
    </x:row>
    <x:row r="36" ht="42" customHeight="1">
      <x:c r="A36" s="12" t="str">
        <x:v>Life-X</x:v>
      </x:c>
      <x:c r="B36" s="12" t="str">
        <x:v>PHCS PPO 1000</x:v>
      </x:c>
      <x:c r="C36" s="12" t="str">
        <x:v>Limited copay</x:v>
      </x:c>
      <x:c r="D36" s="12" t="str">
        <x:v>PHCS PPO</x:v>
      </x:c>
      <x:c r="E36" s="10" t="n">
        <x:f>'Rate sources'!D35</x:f>
        <x:v>769</x:v>
      </x:c>
      <x:c r="F36" s="10" t="n">
        <x:f>'Rate sources'!E35</x:f>
        <x:v>479</x:v>
      </x:c>
      <x:c r="G36" s="10" t="n">
        <x:f>'Rate sources'!F35</x:f>
        <x:v>1129</x:v>
      </x:c>
      <x:c r="H36" s="10" t="n">
        <x:f>'Rate sources'!D35</x:f>
        <x:v>769</x:v>
      </x:c>
      <x:c r="I36" s="10" t="n">
        <x:f>'Rate sources'!E35</x:f>
        <x:v>479</x:v>
      </x:c>
      <x:c r="J36" s="10" t="n">
        <x:f>'Rate sources'!F35</x:f>
        <x:v>1129</x:v>
      </x:c>
      <x:c r="K36" s="10" t="n">
        <x:f>'Rate sources'!D35</x:f>
        <x:v>769</x:v>
      </x:c>
      <x:c r="L36" s="10" t="n">
        <x:f>'Rate sources'!E35</x:f>
        <x:v>479</x:v>
      </x:c>
      <x:c r="M36" s="10" t="n">
        <x:f>'Rate sources'!F35</x:f>
        <x:v>1129</x:v>
      </x:c>
      <x:c r="N36" s="2"/>
    </x:row>
    <x:row r="37" ht="42" customHeight="1">
      <x:c r="A37" s="13" t="str">
        <x:v>Life-X</x:v>
      </x:c>
      <x:c r="B37" s="13" t="str">
        <x:v>VL 1000</x:v>
      </x:c>
      <x:c r="C37" s="13" t="str">
        <x:v>Limited copay</x:v>
      </x:c>
      <x:c r="D37" s="13" t="str">
        <x:v>PHCS PPO</x:v>
      </x:c>
      <x:c r="E37" s="11" t="n">
        <x:f>'Rate sources'!D36</x:f>
        <x:v>638</x:v>
      </x:c>
      <x:c r="F37" s="11" t="n">
        <x:f>'Rate sources'!E36</x:f>
        <x:v>380</x:v>
      </x:c>
      <x:c r="G37" s="11" t="n">
        <x:f>'Rate sources'!F36</x:f>
        <x:v>977</x:v>
      </x:c>
      <x:c r="H37" s="11" t="n">
        <x:f>'Rate sources'!D36</x:f>
        <x:v>638</x:v>
      </x:c>
      <x:c r="I37" s="11" t="n">
        <x:f>'Rate sources'!E36</x:f>
        <x:v>380</x:v>
      </x:c>
      <x:c r="J37" s="11" t="n">
        <x:f>'Rate sources'!F36</x:f>
        <x:v>977</x:v>
      </x:c>
      <x:c r="K37" s="11" t="n">
        <x:f>'Rate sources'!D36</x:f>
        <x:v>638</x:v>
      </x:c>
      <x:c r="L37" s="11" t="n">
        <x:f>'Rate sources'!E36</x:f>
        <x:v>380</x:v>
      </x:c>
      <x:c r="M37" s="11" t="n">
        <x:f>'Rate sources'!F36</x:f>
        <x:v>977</x:v>
      </x:c>
      <x:c r="N37" s="2"/>
    </x:row>
    <x:row r="38" ht="42" customHeight="1">
      <x:c r="A38" s="12" t="str">
        <x:v>EnrollPrime</x:v>
      </x:c>
      <x:c r="B38" s="12" t="str">
        <x:v>MedMax 1500</x:v>
      </x:c>
      <x:c r="C38" s="12" t="str">
        <x:v>Limited copay</x:v>
      </x:c>
      <x:c r="D38" s="12" t="str">
        <x:v>First Health PPO</x:v>
      </x:c>
      <x:c r="E38" s="10" t="n">
        <x:f>'Rate sources'!D37</x:f>
        <x:v>623</x:v>
      </x:c>
      <x:c r="F38" s="10" t="n">
        <x:f>'Rate sources'!E37</x:f>
        <x:v>379</x:v>
      </x:c>
      <x:c r="G38" s="10" t="n">
        <x:f>'Rate sources'!F37</x:f>
        <x:v>959</x:v>
      </x:c>
      <x:c r="H38" s="10" t="n">
        <x:f>'Rate sources'!D37</x:f>
        <x:v>623</x:v>
      </x:c>
      <x:c r="I38" s="10" t="n">
        <x:f>'Rate sources'!E37</x:f>
        <x:v>379</x:v>
      </x:c>
      <x:c r="J38" s="10" t="n">
        <x:f>'Rate sources'!F37</x:f>
        <x:v>959</x:v>
      </x:c>
      <x:c r="K38" s="10" t="n">
        <x:f>'Rate sources'!D37</x:f>
        <x:v>623</x:v>
      </x:c>
      <x:c r="L38" s="10" t="n">
        <x:f>'Rate sources'!E37</x:f>
        <x:v>379</x:v>
      </x:c>
      <x:c r="M38" s="10" t="n">
        <x:f>'Rate sources'!F37</x:f>
        <x:v>959</x:v>
      </x:c>
      <x:c r="N38" s="2"/>
    </x:row>
    <x:row r="39" ht="42" customHeight="1">
      <x:c r="A39" s="13" t="str">
        <x:v>Life-X</x:v>
      </x:c>
      <x:c r="B39" s="13" t="str">
        <x:v>PHCS PPO 1500</x:v>
      </x:c>
      <x:c r="C39" s="13" t="str">
        <x:v>Limited copay</x:v>
      </x:c>
      <x:c r="D39" s="13" t="str">
        <x:v>PHCS PPO</x:v>
      </x:c>
      <x:c r="E39" s="11" t="n">
        <x:f>'Rate sources'!D38</x:f>
        <x:v>743</x:v>
      </x:c>
      <x:c r="F39" s="11" t="n">
        <x:f>'Rate sources'!E38</x:f>
        <x:v>459</x:v>
      </x:c>
      <x:c r="G39" s="11" t="n">
        <x:f>'Rate sources'!F38</x:f>
        <x:v>1109</x:v>
      </x:c>
      <x:c r="H39" s="11" t="n">
        <x:f>'Rate sources'!D38</x:f>
        <x:v>743</x:v>
      </x:c>
      <x:c r="I39" s="11" t="n">
        <x:f>'Rate sources'!E38</x:f>
        <x:v>459</x:v>
      </x:c>
      <x:c r="J39" s="11" t="n">
        <x:f>'Rate sources'!F38</x:f>
        <x:v>1109</x:v>
      </x:c>
      <x:c r="K39" s="11" t="n">
        <x:f>'Rate sources'!D38</x:f>
        <x:v>743</x:v>
      </x:c>
      <x:c r="L39" s="11" t="n">
        <x:f>'Rate sources'!E38</x:f>
        <x:v>459</x:v>
      </x:c>
      <x:c r="M39" s="11" t="n">
        <x:f>'Rate sources'!F38</x:f>
        <x:v>1109</x:v>
      </x:c>
      <x:c r="N39" s="2"/>
    </x:row>
    <x:row r="40" ht="42" customHeight="1">
      <x:c r="A40" s="12" t="str">
        <x:v>Life-X</x:v>
      </x:c>
      <x:c r="B40" s="12" t="str">
        <x:v>VL 1500</x:v>
      </x:c>
      <x:c r="C40" s="12" t="str">
        <x:v>Limited copay</x:v>
      </x:c>
      <x:c r="D40" s="12" t="str">
        <x:v>PHCS PPO</x:v>
      </x:c>
      <x:c r="E40" s="10" t="n">
        <x:f>'Rate sources'!D39</x:f>
        <x:v>611</x:v>
      </x:c>
      <x:c r="F40" s="10" t="n">
        <x:f>'Rate sources'!E39</x:f>
        <x:v>359</x:v>
      </x:c>
      <x:c r="G40" s="10" t="n">
        <x:f>'Rate sources'!F39</x:f>
        <x:v>957</x:v>
      </x:c>
      <x:c r="H40" s="10" t="n">
        <x:f>'Rate sources'!D39</x:f>
        <x:v>611</x:v>
      </x:c>
      <x:c r="I40" s="10" t="n">
        <x:f>'Rate sources'!E39</x:f>
        <x:v>359</x:v>
      </x:c>
      <x:c r="J40" s="10" t="n">
        <x:f>'Rate sources'!F39</x:f>
        <x:v>957</x:v>
      </x:c>
      <x:c r="K40" s="10" t="n">
        <x:f>'Rate sources'!D39</x:f>
        <x:v>611</x:v>
      </x:c>
      <x:c r="L40" s="10" t="n">
        <x:f>'Rate sources'!E39</x:f>
        <x:v>359</x:v>
      </x:c>
      <x:c r="M40" s="10" t="n">
        <x:f>'Rate sources'!F39</x:f>
        <x:v>957</x:v>
      </x:c>
      <x:c r="N40" s="2"/>
    </x:row>
    <x:row r="41" ht="42" customHeight="1">
      <x:c r="A41" s="13" t="str">
        <x:v>Lucida</x:v>
      </x:c>
      <x:c r="B41" s="13" t="str">
        <x:v>Bloom Plan 1</x:v>
      </x:c>
      <x:c r="C41" s="13" t="str">
        <x:v>Fixed indemnity</x:v>
      </x:c>
      <x:c r="D41" s="13" t="str">
        <x:v>Fixed indemnity; no medical network identified</x:v>
      </x:c>
      <x:c r="E41" s="11" t="n">
        <x:f>'Rate sources'!D40</x:f>
        <x:v>582.03</x:v>
      </x:c>
      <x:c r="F41" s="11" t="n">
        <x:f>'Rate sources'!E40</x:f>
        <x:v>370.96</x:v>
      </x:c>
      <x:c r="G41" s="11" t="n">
        <x:f>'Rate sources'!F40</x:f>
        <x:v>838.52</x:v>
      </x:c>
      <x:c r="H41" s="11" t="n">
        <x:f>'Rate sources'!D40</x:f>
        <x:v>582.03</x:v>
      </x:c>
      <x:c r="I41" s="11" t="n">
        <x:f>'Rate sources'!E40</x:f>
        <x:v>370.96</x:v>
      </x:c>
      <x:c r="J41" s="11" t="n">
        <x:f>'Rate sources'!F40</x:f>
        <x:v>838.52</x:v>
      </x:c>
      <x:c r="K41" s="11" t="n">
        <x:f>'Rate sources'!D40</x:f>
        <x:v>582.03</x:v>
      </x:c>
      <x:c r="L41" s="11" t="n">
        <x:f>'Rate sources'!E40</x:f>
        <x:v>370.96</x:v>
      </x:c>
      <x:c r="M41" s="11" t="n">
        <x:f>'Rate sources'!F40</x:f>
        <x:v>838.52</x:v>
      </x:c>
      <x:c r="N41" s="2"/>
    </x:row>
    <x:row r="42" ht="42" customHeight="1">
      <x:c r="A42" s="12" t="str">
        <x:v>Lucida</x:v>
      </x:c>
      <x:c r="B42" s="12" t="str">
        <x:v>Bloom Plan 2</x:v>
      </x:c>
      <x:c r="C42" s="12" t="str">
        <x:v>Fixed indemnity</x:v>
      </x:c>
      <x:c r="D42" s="12" t="str">
        <x:v>Fixed indemnity; no medical network identified</x:v>
      </x:c>
      <x:c r="E42" s="10" t="n">
        <x:f>'Rate sources'!D41</x:f>
        <x:v>751.5</x:v>
      </x:c>
      <x:c r="F42" s="10" t="n">
        <x:f>'Rate sources'!E41</x:f>
        <x:v>459.51</x:v>
      </x:c>
      <x:c r="G42" s="10" t="n">
        <x:f>'Rate sources'!F41</x:f>
        <x:v>1096.53</x:v>
      </x:c>
      <x:c r="H42" s="10" t="n">
        <x:f>'Rate sources'!D41</x:f>
        <x:v>751.5</x:v>
      </x:c>
      <x:c r="I42" s="10" t="n">
        <x:f>'Rate sources'!E41</x:f>
        <x:v>459.51</x:v>
      </x:c>
      <x:c r="J42" s="10" t="n">
        <x:f>'Rate sources'!F41</x:f>
        <x:v>1096.53</x:v>
      </x:c>
      <x:c r="K42" s="10" t="n">
        <x:f>'Rate sources'!D41</x:f>
        <x:v>751.5</x:v>
      </x:c>
      <x:c r="L42" s="10" t="n">
        <x:f>'Rate sources'!E41</x:f>
        <x:v>459.51</x:v>
      </x:c>
      <x:c r="M42" s="10" t="n">
        <x:f>'Rate sources'!F41</x:f>
        <x:v>1096.53</x:v>
      </x:c>
      <x:c r="N42" s="2"/>
    </x:row>
    <x:row r="43" ht="42" customHeight="1">
      <x:c r="A43" s="13" t="str">
        <x:v>Lucida</x:v>
      </x:c>
      <x:c r="B43" s="13" t="str">
        <x:v>Bloom Plan 3</x:v>
      </x:c>
      <x:c r="C43" s="13" t="str">
        <x:v>Fixed indemnity</x:v>
      </x:c>
      <x:c r="D43" s="13" t="str">
        <x:v>Fixed indemnity; no medical network identified</x:v>
      </x:c>
      <x:c r="E43" s="11" t="n">
        <x:f>'Rate sources'!D42</x:f>
        <x:v>943.86</x:v>
      </x:c>
      <x:c r="F43" s="11" t="n">
        <x:f>'Rate sources'!E42</x:f>
        <x:v>561.8</x:v>
      </x:c>
      <x:c r="G43" s="11" t="n">
        <x:f>'Rate sources'!F42</x:f>
        <x:v>1392.72</x:v>
      </x:c>
      <x:c r="H43" s="11" t="n">
        <x:f>'Rate sources'!D42</x:f>
        <x:v>943.86</x:v>
      </x:c>
      <x:c r="I43" s="11" t="n">
        <x:f>'Rate sources'!E42</x:f>
        <x:v>561.8</x:v>
      </x:c>
      <x:c r="J43" s="11" t="n">
        <x:f>'Rate sources'!F42</x:f>
        <x:v>1392.72</x:v>
      </x:c>
      <x:c r="K43" s="11" t="n">
        <x:f>'Rate sources'!D42</x:f>
        <x:v>943.86</x:v>
      </x:c>
      <x:c r="L43" s="11" t="n">
        <x:f>'Rate sources'!E42</x:f>
        <x:v>561.8</x:v>
      </x:c>
      <x:c r="M43" s="11" t="n">
        <x:f>'Rate sources'!F42</x:f>
        <x:v>1392.72</x:v>
      </x:c>
      <x:c r="N43" s="2"/>
    </x:row>
    <x:row r="44" ht="42" customHeight="1">
      <x:c r="A44" s="12" t="str">
        <x:v>Lucida</x:v>
      </x:c>
      <x:c r="B44" s="12" t="str">
        <x:v>Bloom Plan 4</x:v>
      </x:c>
      <x:c r="C44" s="12" t="str">
        <x:v>Fixed indemnity</x:v>
      </x:c>
      <x:c r="D44" s="12" t="str">
        <x:v>Fixed indemnity; no medical network identified</x:v>
      </x:c>
      <x:c r="E44" s="10" t="n">
        <x:f>'Rate sources'!D43</x:f>
        <x:v>1003.4</x:v>
      </x:c>
      <x:c r="F44" s="10" t="n">
        <x:f>'Rate sources'!E43</x:f>
        <x:v>593.86</x:v>
      </x:c>
      <x:c r="G44" s="10" t="n">
        <x:f>'Rate sources'!F43</x:f>
        <x:v>1482.8</x:v>
      </x:c>
      <x:c r="H44" s="10" t="n">
        <x:f>'Rate sources'!D43</x:f>
        <x:v>1003.4</x:v>
      </x:c>
      <x:c r="I44" s="10" t="n">
        <x:f>'Rate sources'!E43</x:f>
        <x:v>593.86</x:v>
      </x:c>
      <x:c r="J44" s="10" t="n">
        <x:f>'Rate sources'!F43</x:f>
        <x:v>1482.8</x:v>
      </x:c>
      <x:c r="K44" s="10" t="n">
        <x:f>'Rate sources'!D43</x:f>
        <x:v>1003.4</x:v>
      </x:c>
      <x:c r="L44" s="10" t="n">
        <x:f>'Rate sources'!E43</x:f>
        <x:v>593.86</x:v>
      </x:c>
      <x:c r="M44" s="10" t="n">
        <x:f>'Rate sources'!F43</x:f>
        <x:v>1482.8</x:v>
      </x:c>
      <x:c r="N44" s="2"/>
    </x:row>
    <x:row r="45" ht="42" customHeight="1">
      <x:c r="A45" s="13" t="str">
        <x:v>Lucida</x:v>
      </x:c>
      <x:c r="B45" s="13" t="str">
        <x:v>Bloom Plan 5</x:v>
      </x:c>
      <x:c r="C45" s="13" t="str">
        <x:v>Fixed indemnity</x:v>
      </x:c>
      <x:c r="D45" s="13" t="str">
        <x:v>Fixed indemnity; no medical network identified</x:v>
      </x:c>
      <x:c r="E45" s="11" t="n">
        <x:f>'Rate sources'!D44</x:f>
        <x:v>1122.49</x:v>
      </x:c>
      <x:c r="F45" s="11" t="n">
        <x:f>'Rate sources'!E44</x:f>
        <x:v>656.46</x:v>
      </x:c>
      <x:c r="G45" s="11" t="n">
        <x:f>'Rate sources'!F44</x:f>
        <x:v>1664.47</x:v>
      </x:c>
      <x:c r="H45" s="11" t="n">
        <x:f>'Rate sources'!D44</x:f>
        <x:v>1122.49</x:v>
      </x:c>
      <x:c r="I45" s="11" t="n">
        <x:f>'Rate sources'!E44</x:f>
        <x:v>656.46</x:v>
      </x:c>
      <x:c r="J45" s="11" t="n">
        <x:f>'Rate sources'!F44</x:f>
        <x:v>1664.47</x:v>
      </x:c>
      <x:c r="K45" s="11" t="n">
        <x:f>'Rate sources'!D44</x:f>
        <x:v>1122.49</x:v>
      </x:c>
      <x:c r="L45" s="11" t="n">
        <x:f>'Rate sources'!E44</x:f>
        <x:v>656.46</x:v>
      </x:c>
      <x:c r="M45" s="11" t="n">
        <x:f>'Rate sources'!F44</x:f>
        <x:v>1664.47</x:v>
      </x:c>
      <x:c r="N45" s="2"/>
    </x:row>
    <x:row r="46" ht="42" customHeight="1">
      <x:c r="A46" s="12" t="str">
        <x:v>Lucida</x:v>
      </x:c>
      <x:c r="B46" s="12" t="str">
        <x:v>Bloom Plan 6</x:v>
      </x:c>
      <x:c r="C46" s="12" t="str">
        <x:v>Fixed indemnity</x:v>
      </x:c>
      <x:c r="D46" s="12" t="str">
        <x:v>Fixed indemnity; no medical network identified</x:v>
      </x:c>
      <x:c r="E46" s="10" t="n">
        <x:f>'Rate sources'!D45</x:f>
        <x:v>1258.37</x:v>
      </x:c>
      <x:c r="F46" s="10" t="n">
        <x:f>'Rate sources'!E45</x:f>
        <x:v>731.27</x:v>
      </x:c>
      <x:c r="G46" s="10" t="n">
        <x:f>'Rate sources'!F45</x:f>
        <x:v>1876.69</x:v>
      </x:c>
      <x:c r="H46" s="10" t="n">
        <x:f>'Rate sources'!D45</x:f>
        <x:v>1258.37</x:v>
      </x:c>
      <x:c r="I46" s="10" t="n">
        <x:f>'Rate sources'!E45</x:f>
        <x:v>731.27</x:v>
      </x:c>
      <x:c r="J46" s="10" t="n">
        <x:f>'Rate sources'!F45</x:f>
        <x:v>1876.69</x:v>
      </x:c>
      <x:c r="K46" s="10" t="n">
        <x:f>'Rate sources'!D45</x:f>
        <x:v>1258.37</x:v>
      </x:c>
      <x:c r="L46" s="10" t="n">
        <x:f>'Rate sources'!E45</x:f>
        <x:v>731.27</x:v>
      </x:c>
      <x:c r="M46" s="10" t="n">
        <x:f>'Rate sources'!F45</x:f>
        <x:v>1876.69</x:v>
      </x:c>
      <x:c r="N46" s="2"/>
    </x:row>
    <x:row r="47" ht="42" customHeight="1">
      <x:c r="A47" s="13" t="str">
        <x:v>Lucida</x:v>
      </x:c>
      <x:c r="B47" s="13" t="str">
        <x:v>Bloom Plan 7</x:v>
      </x:c>
      <x:c r="C47" s="13" t="str">
        <x:v>Fixed indemnity</x:v>
      </x:c>
      <x:c r="D47" s="13" t="str">
        <x:v>Fixed indemnity; no medical network identified</x:v>
      </x:c>
      <x:c r="E47" s="11" t="n">
        <x:f>'Rate sources'!D46</x:f>
        <x:v>1397.3</x:v>
      </x:c>
      <x:c r="F47" s="11" t="n">
        <x:f>'Rate sources'!E46</x:f>
        <x:v>806.07</x:v>
      </x:c>
      <x:c r="G47" s="11" t="n">
        <x:f>'Rate sources'!F46</x:f>
        <x:v>2085.85</x:v>
      </x:c>
      <x:c r="H47" s="11" t="n">
        <x:f>'Rate sources'!D46</x:f>
        <x:v>1397.3</x:v>
      </x:c>
      <x:c r="I47" s="11" t="n">
        <x:f>'Rate sources'!E46</x:f>
        <x:v>806.07</x:v>
      </x:c>
      <x:c r="J47" s="11" t="n">
        <x:f>'Rate sources'!F46</x:f>
        <x:v>2085.85</x:v>
      </x:c>
      <x:c r="K47" s="11" t="n">
        <x:f>'Rate sources'!D46</x:f>
        <x:v>1397.3</x:v>
      </x:c>
      <x:c r="L47" s="11" t="n">
        <x:f>'Rate sources'!E46</x:f>
        <x:v>806.07</x:v>
      </x:c>
      <x:c r="M47" s="11" t="n">
        <x:f>'Rate sources'!F46</x:f>
        <x:v>2085.85</x:v>
      </x:c>
      <x:c r="N47" s="2"/>
    </x:row>
    <x:row r="48" ht="42" customHeight="1">
      <x:c r="A48" s="12" t="str">
        <x:v>Lucida</x:v>
      </x:c>
      <x:c r="B48" s="12" t="str">
        <x:v>Everest AFEUSA Prime 2000</x:v>
      </x:c>
      <x:c r="C48" s="12" t="str">
        <x:v>Fixed indemnity</x:v>
      </x:c>
      <x:c r="D48" s="12" t="str">
        <x:v>First Health PPO</x:v>
      </x:c>
      <x:c r="E48" s="10" t="str">
        <x:f>'Rate sources'!D47</x:f>
        <x:v>Unverified</x:v>
      </x:c>
      <x:c r="F48" s="10" t="str">
        <x:f>'Rate sources'!E47</x:f>
        <x:v>Unverified</x:v>
      </x:c>
      <x:c r="G48" s="10" t="str">
        <x:f>'Rate sources'!F47</x:f>
        <x:v>Unverified</x:v>
      </x:c>
      <x:c r="H48" s="10" t="str">
        <x:f>'Rate sources'!D47</x:f>
        <x:v>Unverified</x:v>
      </x:c>
      <x:c r="I48" s="10" t="str">
        <x:f>'Rate sources'!E47</x:f>
        <x:v>Unverified</x:v>
      </x:c>
      <x:c r="J48" s="10" t="str">
        <x:f>'Rate sources'!F47</x:f>
        <x:v>Unverified</x:v>
      </x:c>
      <x:c r="K48" s="10" t="str">
        <x:f>'Rate sources'!D47</x:f>
        <x:v>Unverified</x:v>
      </x:c>
      <x:c r="L48" s="10" t="str">
        <x:f>'Rate sources'!E47</x:f>
        <x:v>Unverified</x:v>
      </x:c>
      <x:c r="M48" s="10" t="str">
        <x:f>'Rate sources'!F47</x:f>
        <x:v>Unverified</x:v>
      </x:c>
      <x:c r="N48" s="2"/>
    </x:row>
    <x:row r="49" ht="42" customHeight="1">
      <x:c r="A49" s="13" t="str">
        <x:v>Lucida</x:v>
      </x:c>
      <x:c r="B49" s="13" t="str">
        <x:v>Everest AFEUSA Prime 3000</x:v>
      </x:c>
      <x:c r="C49" s="13" t="str">
        <x:v>Fixed indemnity</x:v>
      </x:c>
      <x:c r="D49" s="13" t="str">
        <x:v>First Health PPO</x:v>
      </x:c>
      <x:c r="E49" s="11" t="str">
        <x:f>'Rate sources'!D48</x:f>
        <x:v>Unverified</x:v>
      </x:c>
      <x:c r="F49" s="11" t="str">
        <x:f>'Rate sources'!E48</x:f>
        <x:v>Unverified</x:v>
      </x:c>
      <x:c r="G49" s="11" t="str">
        <x:f>'Rate sources'!F48</x:f>
        <x:v>Unverified</x:v>
      </x:c>
      <x:c r="H49" s="11" t="str">
        <x:f>'Rate sources'!D48</x:f>
        <x:v>Unverified</x:v>
      </x:c>
      <x:c r="I49" s="11" t="str">
        <x:f>'Rate sources'!E48</x:f>
        <x:v>Unverified</x:v>
      </x:c>
      <x:c r="J49" s="11" t="str">
        <x:f>'Rate sources'!F48</x:f>
        <x:v>Unverified</x:v>
      </x:c>
      <x:c r="K49" s="11" t="str">
        <x:f>'Rate sources'!D48</x:f>
        <x:v>Unverified</x:v>
      </x:c>
      <x:c r="L49" s="11" t="str">
        <x:f>'Rate sources'!E48</x:f>
        <x:v>Unverified</x:v>
      </x:c>
      <x:c r="M49" s="11" t="str">
        <x:f>'Rate sources'!F48</x:f>
        <x:v>Unverified</x:v>
      </x:c>
      <x:c r="N49" s="2"/>
    </x:row>
    <x:row r="50" ht="42" customHeight="1">
      <x:c r="A50" s="12" t="str">
        <x:v>Lucida</x:v>
      </x:c>
      <x:c r="B50" s="12" t="str">
        <x:v>Everest AFEUSA Prime 4000</x:v>
      </x:c>
      <x:c r="C50" s="12" t="str">
        <x:v>Fixed indemnity</x:v>
      </x:c>
      <x:c r="D50" s="12" t="str">
        <x:v>First Health PPO</x:v>
      </x:c>
      <x:c r="E50" s="10" t="str">
        <x:f>'Rate sources'!D49</x:f>
        <x:v>Unverified</x:v>
      </x:c>
      <x:c r="F50" s="10" t="str">
        <x:f>'Rate sources'!E49</x:f>
        <x:v>Unverified</x:v>
      </x:c>
      <x:c r="G50" s="10" t="str">
        <x:f>'Rate sources'!F49</x:f>
        <x:v>Unverified</x:v>
      </x:c>
      <x:c r="H50" s="10" t="str">
        <x:f>'Rate sources'!D49</x:f>
        <x:v>Unverified</x:v>
      </x:c>
      <x:c r="I50" s="10" t="str">
        <x:f>'Rate sources'!E49</x:f>
        <x:v>Unverified</x:v>
      </x:c>
      <x:c r="J50" s="10" t="str">
        <x:f>'Rate sources'!F49</x:f>
        <x:v>Unverified</x:v>
      </x:c>
      <x:c r="K50" s="10" t="str">
        <x:f>'Rate sources'!D49</x:f>
        <x:v>Unverified</x:v>
      </x:c>
      <x:c r="L50" s="10" t="str">
        <x:f>'Rate sources'!E49</x:f>
        <x:v>Unverified</x:v>
      </x:c>
      <x:c r="M50" s="10" t="str">
        <x:f>'Rate sources'!F49</x:f>
        <x:v>Unverified</x:v>
      </x:c>
      <x:c r="N50" s="2"/>
    </x:row>
    <x:row r="51" ht="42" customHeight="1">
      <x:c r="A51" s="13" t="str">
        <x:v>Lucida</x:v>
      </x:c>
      <x:c r="B51" s="13" t="str">
        <x:v>Everest AFEUSA Prime 6000</x:v>
      </x:c>
      <x:c r="C51" s="13" t="str">
        <x:v>Fixed indemnity</x:v>
      </x:c>
      <x:c r="D51" s="13" t="str">
        <x:v>First Health PPO</x:v>
      </x:c>
      <x:c r="E51" s="11" t="str">
        <x:f>'Rate sources'!D50</x:f>
        <x:v>Unverified</x:v>
      </x:c>
      <x:c r="F51" s="11" t="str">
        <x:f>'Rate sources'!E50</x:f>
        <x:v>Unverified</x:v>
      </x:c>
      <x:c r="G51" s="11" t="str">
        <x:f>'Rate sources'!F50</x:f>
        <x:v>Unverified</x:v>
      </x:c>
      <x:c r="H51" s="11" t="str">
        <x:f>'Rate sources'!D50</x:f>
        <x:v>Unverified</x:v>
      </x:c>
      <x:c r="I51" s="11" t="str">
        <x:f>'Rate sources'!E50</x:f>
        <x:v>Unverified</x:v>
      </x:c>
      <x:c r="J51" s="11" t="str">
        <x:f>'Rate sources'!F50</x:f>
        <x:v>Unverified</x:v>
      </x:c>
      <x:c r="K51" s="11" t="str">
        <x:f>'Rate sources'!D50</x:f>
        <x:v>Unverified</x:v>
      </x:c>
      <x:c r="L51" s="11" t="str">
        <x:f>'Rate sources'!E50</x:f>
        <x:v>Unverified</x:v>
      </x:c>
      <x:c r="M51" s="11" t="str">
        <x:f>'Rate sources'!F50</x:f>
        <x:v>Unverified</x:v>
      </x:c>
      <x:c r="N51" s="2"/>
    </x:row>
    <x:row r="52" ht="42" customHeight="1">
      <x:c r="A52" s="12" t="str">
        <x:v>Lucida</x:v>
      </x:c>
      <x:c r="B52" s="12" t="str">
        <x:v>Everest AFEUSA Prime 8000</x:v>
      </x:c>
      <x:c r="C52" s="12" t="str">
        <x:v>Fixed indemnity</x:v>
      </x:c>
      <x:c r="D52" s="12" t="str">
        <x:v>First Health PPO</x:v>
      </x:c>
      <x:c r="E52" s="10" t="str">
        <x:f>'Rate sources'!D51</x:f>
        <x:v>Unverified</x:v>
      </x:c>
      <x:c r="F52" s="10" t="str">
        <x:f>'Rate sources'!E51</x:f>
        <x:v>Unverified</x:v>
      </x:c>
      <x:c r="G52" s="10" t="str">
        <x:f>'Rate sources'!F51</x:f>
        <x:v>Unverified</x:v>
      </x:c>
      <x:c r="H52" s="10" t="str">
        <x:f>'Rate sources'!D51</x:f>
        <x:v>Unverified</x:v>
      </x:c>
      <x:c r="I52" s="10" t="str">
        <x:f>'Rate sources'!E51</x:f>
        <x:v>Unverified</x:v>
      </x:c>
      <x:c r="J52" s="10" t="str">
        <x:f>'Rate sources'!F51</x:f>
        <x:v>Unverified</x:v>
      </x:c>
      <x:c r="K52" s="10" t="str">
        <x:f>'Rate sources'!D51</x:f>
        <x:v>Unverified</x:v>
      </x:c>
      <x:c r="L52" s="10" t="str">
        <x:f>'Rate sources'!E51</x:f>
        <x:v>Unverified</x:v>
      </x:c>
      <x:c r="M52" s="10" t="str">
        <x:f>'Rate sources'!F51</x:f>
        <x:v>Unverified</x:v>
      </x:c>
      <x:c r="N52" s="2"/>
    </x:row>
    <x:row r="53" ht="42" customHeight="1">
      <x:c r="A53" s="13" t="str">
        <x:v>AFI / Enroll Prime</x:v>
      </x:c>
      <x:c r="B53" s="13" t="str">
        <x:v>AFI 8300 HSA</x:v>
      </x:c>
      <x:c r="C53" s="13" t="str">
        <x:v>HSA</x:v>
      </x:c>
      <x:c r="D53" s="13" t="str">
        <x:v>PHCS Extended PPO per provider lookup guide; exact plan access unverified</x:v>
      </x:c>
      <x:c r="E53" s="11" t="n">
        <x:f>'Rate sources'!D52</x:f>
        <x:v>1045.14</x:v>
      </x:c>
      <x:c r="F53" s="11" t="n">
        <x:f>'Rate sources'!E52</x:f>
        <x:v>585.58</x:v>
      </x:c>
      <x:c r="G53" s="11" t="n">
        <x:f>'Rate sources'!F52</x:f>
        <x:v>1300.15</x:v>
      </x:c>
      <x:c r="H53" s="11" t="n">
        <x:f>'Rate sources'!D52</x:f>
        <x:v>1045.14</x:v>
      </x:c>
      <x:c r="I53" s="11" t="n">
        <x:f>'Rate sources'!E52</x:f>
        <x:v>585.58</x:v>
      </x:c>
      <x:c r="J53" s="11" t="n">
        <x:f>'Rate sources'!F52</x:f>
        <x:v>1300.15</x:v>
      </x:c>
      <x:c r="K53" s="11" t="n">
        <x:f>'Rate sources'!D52</x:f>
        <x:v>1045.14</x:v>
      </x:c>
      <x:c r="L53" s="11" t="n">
        <x:f>'Rate sources'!E52</x:f>
        <x:v>585.58</x:v>
      </x:c>
      <x:c r="M53" s="11" t="n">
        <x:f>'Rate sources'!F52</x:f>
        <x:v>1300.15</x:v>
      </x:c>
      <x:c r="N53" s="2"/>
    </x:row>
    <x:row r="54" ht="42" customHeight="1">
      <x:c r="A54" s="12" t="str">
        <x:v>AFI / Enroll Prime</x:v>
      </x:c>
      <x:c r="B54" s="12" t="str">
        <x:v>AFI 3500 HSA</x:v>
      </x:c>
      <x:c r="C54" s="12" t="str">
        <x:v>HSA</x:v>
      </x:c>
      <x:c r="D54" s="12" t="str">
        <x:v>PHCS Extended PPO per provider lookup guide; exact plan access unverified</x:v>
      </x:c>
      <x:c r="E54" s="10" t="n">
        <x:f>'Rate sources'!D53</x:f>
        <x:v>1189.78</x:v>
      </x:c>
      <x:c r="F54" s="10" t="n">
        <x:f>'Rate sources'!E53</x:f>
        <x:v>685.81</x:v>
      </x:c>
      <x:c r="G54" s="10" t="n">
        <x:f>'Rate sources'!F53</x:f>
        <x:v>1805.5</x:v>
      </x:c>
      <x:c r="H54" s="10" t="n">
        <x:f>'Rate sources'!D53</x:f>
        <x:v>1189.78</x:v>
      </x:c>
      <x:c r="I54" s="10" t="n">
        <x:f>'Rate sources'!E53</x:f>
        <x:v>685.81</x:v>
      </x:c>
      <x:c r="J54" s="10" t="n">
        <x:f>'Rate sources'!F53</x:f>
        <x:v>1805.5</x:v>
      </x:c>
      <x:c r="K54" s="10" t="n">
        <x:f>'Rate sources'!D53</x:f>
        <x:v>1189.78</x:v>
      </x:c>
      <x:c r="L54" s="10" t="n">
        <x:f>'Rate sources'!E53</x:f>
        <x:v>685.81</x:v>
      </x:c>
      <x:c r="M54" s="10" t="n">
        <x:f>'Rate sources'!F53</x:f>
        <x:v>1805.5</x:v>
      </x:c>
      <x:c r="N54" s="2"/>
    </x:row>
    <x:row r="55" ht="42" customHeight="1">
      <x:c r="A55" s="13" t="str">
        <x:v>AFI / Enroll Prime</x:v>
      </x:c>
      <x:c r="B55" s="13" t="str">
        <x:v>AFI 4500 Copay</x:v>
      </x:c>
      <x:c r="C55" s="13" t="str">
        <x:v>Major medical</x:v>
      </x:c>
      <x:c r="D55" s="13" t="str">
        <x:v>PHCS Extended PPO per provider lookup guide; exact plan access unverified</x:v>
      </x:c>
      <x:c r="E55" s="11" t="n">
        <x:f>'Rate sources'!D54</x:f>
        <x:v>1273.36</x:v>
      </x:c>
      <x:c r="F55" s="11" t="n">
        <x:f>'Rate sources'!E54</x:f>
        <x:v>722.62</x:v>
      </x:c>
      <x:c r="G55" s="11" t="n">
        <x:f>'Rate sources'!F54</x:f>
        <x:v>1841.97</x:v>
      </x:c>
      <x:c r="H55" s="11" t="n">
        <x:f>'Rate sources'!D54</x:f>
        <x:v>1273.36</x:v>
      </x:c>
      <x:c r="I55" s="11" t="n">
        <x:f>'Rate sources'!E54</x:f>
        <x:v>722.62</x:v>
      </x:c>
      <x:c r="J55" s="11" t="n">
        <x:f>'Rate sources'!F54</x:f>
        <x:v>1841.97</x:v>
      </x:c>
      <x:c r="K55" s="11" t="n">
        <x:f>'Rate sources'!D54</x:f>
        <x:v>1273.36</x:v>
      </x:c>
      <x:c r="L55" s="11" t="n">
        <x:f>'Rate sources'!E54</x:f>
        <x:v>722.62</x:v>
      </x:c>
      <x:c r="M55" s="11" t="n">
        <x:f>'Rate sources'!F54</x:f>
        <x:v>1841.97</x:v>
      </x:c>
      <x:c r="N55" s="2"/>
    </x:row>
    <x:row r="56" ht="42" customHeight="1">
      <x:c r="A56" s="12" t="str">
        <x:v>AFI / Enroll Prime</x:v>
      </x:c>
      <x:c r="B56" s="12" t="str">
        <x:v>AFI 3500 Copay</x:v>
      </x:c>
      <x:c r="C56" s="12" t="str">
        <x:v>Major medical</x:v>
      </x:c>
      <x:c r="D56" s="12" t="str">
        <x:v>PHCS Extended PPO per provider lookup guide; exact plan access unverified</x:v>
      </x:c>
      <x:c r="E56" s="10" t="n">
        <x:f>'Rate sources'!D55</x:f>
        <x:v>1427.43</x:v>
      </x:c>
      <x:c r="F56" s="10" t="n">
        <x:f>'Rate sources'!E55</x:f>
        <x:v>815.44</x:v>
      </x:c>
      <x:c r="G56" s="10" t="n">
        <x:f>'Rate sources'!F55</x:f>
        <x:v>2096.72</x:v>
      </x:c>
      <x:c r="H56" s="10" t="n">
        <x:f>'Rate sources'!D55</x:f>
        <x:v>1427.43</x:v>
      </x:c>
      <x:c r="I56" s="10" t="n">
        <x:f>'Rate sources'!E55</x:f>
        <x:v>815.44</x:v>
      </x:c>
      <x:c r="J56" s="10" t="n">
        <x:f>'Rate sources'!F55</x:f>
        <x:v>2096.72</x:v>
      </x:c>
      <x:c r="K56" s="10" t="n">
        <x:f>'Rate sources'!D55</x:f>
        <x:v>1427.43</x:v>
      </x:c>
      <x:c r="L56" s="10" t="n">
        <x:f>'Rate sources'!E55</x:f>
        <x:v>815.44</x:v>
      </x:c>
      <x:c r="M56" s="10" t="n">
        <x:f>'Rate sources'!F55</x:f>
        <x:v>2096.72</x:v>
      </x:c>
      <x:c r="N56" s="2"/>
    </x:row>
    <x:row r="57" ht="42" customHeight="1">
      <x:c r="A57" s="13" t="str">
        <x:v>BMI / Enroll Prime</x:v>
      </x:c>
      <x:c r="B57" s="13" t="str">
        <x:v>BMI MVP Basic</x:v>
      </x:c>
      <x:c r="C57" s="13" t="str">
        <x:v>Limited copay</x:v>
      </x:c>
      <x:c r="D57" s="13" t="str">
        <x:v>PHCS per BMI brochure; Extended PPO per lookup guide, exact access unverified</x:v>
      </x:c>
      <x:c r="E57" s="11" t="n">
        <x:f>'Rate sources'!D56</x:f>
        <x:v>818.8</x:v>
      </x:c>
      <x:c r="F57" s="11" t="n">
        <x:f>'Rate sources'!E56</x:f>
        <x:v>583.51</x:v>
      </x:c>
      <x:c r="G57" s="11" t="n">
        <x:f>'Rate sources'!F56</x:f>
        <x:v>1160.54</x:v>
      </x:c>
      <x:c r="H57" s="11" t="n">
        <x:f>'Rate sources'!D56</x:f>
        <x:v>818.8</x:v>
      </x:c>
      <x:c r="I57" s="11" t="n">
        <x:f>'Rate sources'!E56</x:f>
        <x:v>583.51</x:v>
      </x:c>
      <x:c r="J57" s="11" t="n">
        <x:f>'Rate sources'!F56</x:f>
        <x:v>1160.54</x:v>
      </x:c>
      <x:c r="K57" s="11" t="n">
        <x:f>'Rate sources'!D56</x:f>
        <x:v>818.8</x:v>
      </x:c>
      <x:c r="L57" s="11" t="n">
        <x:f>'Rate sources'!E56</x:f>
        <x:v>583.51</x:v>
      </x:c>
      <x:c r="M57" s="11" t="n">
        <x:f>'Rate sources'!F56</x:f>
        <x:v>1160.54</x:v>
      </x:c>
      <x:c r="N57" s="2"/>
    </x:row>
    <x:row r="58" ht="42" customHeight="1">
      <x:c r="A58" s="12" t="str">
        <x:v>BMI / Enroll Prime</x:v>
      </x:c>
      <x:c r="B58" s="12" t="str">
        <x:v>BMI MVP Value</x:v>
      </x:c>
      <x:c r="C58" s="12" t="str">
        <x:v>Limited copay</x:v>
      </x:c>
      <x:c r="D58" s="12" t="str">
        <x:v>PHCS per BMI brochure; Extended PPO per lookup guide, exact access unverified</x:v>
      </x:c>
      <x:c r="E58" s="10" t="n">
        <x:f>'Rate sources'!D57</x:f>
        <x:v>927.93</x:v>
      </x:c>
      <x:c r="F58" s="10" t="n">
        <x:f>'Rate sources'!E57</x:f>
        <x:v>644.12</x:v>
      </x:c>
      <x:c r="G58" s="10" t="n">
        <x:f>'Rate sources'!F57</x:f>
        <x:v>1342.39</x:v>
      </x:c>
      <x:c r="H58" s="10" t="n">
        <x:f>'Rate sources'!D57</x:f>
        <x:v>927.93</x:v>
      </x:c>
      <x:c r="I58" s="10" t="n">
        <x:f>'Rate sources'!E57</x:f>
        <x:v>644.12</x:v>
      </x:c>
      <x:c r="J58" s="10" t="n">
        <x:f>'Rate sources'!F57</x:f>
        <x:v>1342.39</x:v>
      </x:c>
      <x:c r="K58" s="10" t="n">
        <x:f>'Rate sources'!D57</x:f>
        <x:v>927.93</x:v>
      </x:c>
      <x:c r="L58" s="10" t="n">
        <x:f>'Rate sources'!E57</x:f>
        <x:v>644.12</x:v>
      </x:c>
      <x:c r="M58" s="10" t="n">
        <x:f>'Rate sources'!F57</x:f>
        <x:v>1342.39</x:v>
      </x:c>
      <x:c r="N58" s="2"/>
    </x:row>
    <x:row r="59" ht="42" customHeight="1">
      <x:c r="A59" s="13" t="str">
        <x:v>BMI / Enroll Prime</x:v>
      </x:c>
      <x:c r="B59" s="13" t="str">
        <x:v>BMI MVP Advantage</x:v>
      </x:c>
      <x:c r="C59" s="13" t="str">
        <x:v>Limited copay</x:v>
      </x:c>
      <x:c r="D59" s="13" t="str">
        <x:v>PHCS per BMI brochure; Extended PPO per lookup guide, exact access unverified</x:v>
      </x:c>
      <x:c r="E59" s="11" t="n">
        <x:f>'Rate sources'!D58</x:f>
        <x:v>989.21</x:v>
      </x:c>
      <x:c r="F59" s="11" t="n">
        <x:f>'Rate sources'!E58</x:f>
        <x:v>691.45</x:v>
      </x:c>
      <x:c r="G59" s="11" t="n">
        <x:f>'Rate sources'!F58</x:f>
        <x:v>1435.86</x:v>
      </x:c>
      <x:c r="H59" s="11" t="n">
        <x:f>'Rate sources'!D58</x:f>
        <x:v>989.21</x:v>
      </x:c>
      <x:c r="I59" s="11" t="n">
        <x:f>'Rate sources'!E58</x:f>
        <x:v>691.45</x:v>
      </x:c>
      <x:c r="J59" s="11" t="n">
        <x:f>'Rate sources'!F58</x:f>
        <x:v>1435.86</x:v>
      </x:c>
      <x:c r="K59" s="11" t="n">
        <x:f>'Rate sources'!D58</x:f>
        <x:v>989.21</x:v>
      </x:c>
      <x:c r="L59" s="11" t="n">
        <x:f>'Rate sources'!E58</x:f>
        <x:v>691.45</x:v>
      </x:c>
      <x:c r="M59" s="11" t="n">
        <x:f>'Rate sources'!F58</x:f>
        <x:v>1435.86</x:v>
      </x:c>
      <x:c r="N59" s="2"/>
    </x:row>
    <x:row r="60" ht="42" customHeight="1">
      <x:c r="A60" s="12" t="str">
        <x:v>BMI / Enroll Prime</x:v>
      </x:c>
      <x:c r="B60" s="12" t="str">
        <x:v>BMI DVP Essentials 7500</x:v>
      </x:c>
      <x:c r="C60" s="12" t="str">
        <x:v>Limited copay</x:v>
      </x:c>
      <x:c r="D60" s="12" t="str">
        <x:v>PHCS per BMI brochure; Extended PPO per lookup guide, exact access unverified</x:v>
      </x:c>
      <x:c r="E60" s="10" t="n">
        <x:f>'Rate sources'!D59</x:f>
        <x:v>565.08</x:v>
      </x:c>
      <x:c r="F60" s="10" t="n">
        <x:f>'Rate sources'!E59</x:f>
        <x:v>372.28</x:v>
      </x:c>
      <x:c r="G60" s="10" t="n">
        <x:f>'Rate sources'!F59</x:f>
        <x:v>830.28</x:v>
      </x:c>
      <x:c r="H60" s="10" t="n">
        <x:f>'Rate sources'!D59</x:f>
        <x:v>565.08</x:v>
      </x:c>
      <x:c r="I60" s="10" t="n">
        <x:f>'Rate sources'!E59</x:f>
        <x:v>372.28</x:v>
      </x:c>
      <x:c r="J60" s="10" t="n">
        <x:f>'Rate sources'!F59</x:f>
        <x:v>830.28</x:v>
      </x:c>
      <x:c r="K60" s="10" t="n">
        <x:f>'Rate sources'!D59</x:f>
        <x:v>565.08</x:v>
      </x:c>
      <x:c r="L60" s="10" t="n">
        <x:f>'Rate sources'!E59</x:f>
        <x:v>372.28</x:v>
      </x:c>
      <x:c r="M60" s="10" t="n">
        <x:f>'Rate sources'!F59</x:f>
        <x:v>830.28</x:v>
      </x:c>
      <x:c r="N60" s="2"/>
    </x:row>
    <x:row r="61" ht="42" customHeight="1">
      <x:c r="A61" s="13" t="str">
        <x:v>BMI / Enroll Prime</x:v>
      </x:c>
      <x:c r="B61" s="13" t="str">
        <x:v>BMI DVP Essentials 5000</x:v>
      </x:c>
      <x:c r="C61" s="13" t="str">
        <x:v>Limited copay</x:v>
      </x:c>
      <x:c r="D61" s="13" t="str">
        <x:v>PHCS per BMI brochure; Extended PPO per lookup guide, exact access unverified</x:v>
      </x:c>
      <x:c r="E61" s="11" t="n">
        <x:f>'Rate sources'!D60</x:f>
        <x:v>626.28</x:v>
      </x:c>
      <x:c r="F61" s="11" t="n">
        <x:f>'Rate sources'!E60</x:f>
        <x:v>433.48</x:v>
      </x:c>
      <x:c r="G61" s="11" t="n">
        <x:f>'Rate sources'!F60</x:f>
        <x:v>891.48</x:v>
      </x:c>
      <x:c r="H61" s="11" t="n">
        <x:f>'Rate sources'!D60</x:f>
        <x:v>626.28</x:v>
      </x:c>
      <x:c r="I61" s="11" t="n">
        <x:f>'Rate sources'!E60</x:f>
        <x:v>433.48</x:v>
      </x:c>
      <x:c r="J61" s="11" t="n">
        <x:f>'Rate sources'!F60</x:f>
        <x:v>891.48</x:v>
      </x:c>
      <x:c r="K61" s="11" t="n">
        <x:f>'Rate sources'!D60</x:f>
        <x:v>626.28</x:v>
      </x:c>
      <x:c r="L61" s="11" t="n">
        <x:f>'Rate sources'!E60</x:f>
        <x:v>433.48</x:v>
      </x:c>
      <x:c r="M61" s="11" t="n">
        <x:f>'Rate sources'!F60</x:f>
        <x:v>891.48</x:v>
      </x:c>
      <x:c r="N61" s="2"/>
    </x:row>
    <x:row r="62" ht="42" customHeight="1">
      <x:c r="A62" s="12" t="str">
        <x:v>BMI / Enroll Prime</x:v>
      </x:c>
      <x:c r="B62" s="12" t="str">
        <x:v>BMI DVP Essentials 2500</x:v>
      </x:c>
      <x:c r="C62" s="12" t="str">
        <x:v>Limited copay</x:v>
      </x:c>
      <x:c r="D62" s="12" t="str">
        <x:v>PHCS per BMI brochure; Extended PPO per lookup guide, exact access unverified</x:v>
      </x:c>
      <x:c r="E62" s="10" t="n">
        <x:f>'Rate sources'!D61</x:f>
        <x:v>667.08</x:v>
      </x:c>
      <x:c r="F62" s="10" t="n">
        <x:f>'Rate sources'!E61</x:f>
        <x:v>514.08</x:v>
      </x:c>
      <x:c r="G62" s="10" t="n">
        <x:f>'Rate sources'!F61</x:f>
        <x:v>973.08</x:v>
      </x:c>
      <x:c r="H62" s="10" t="n">
        <x:f>'Rate sources'!D61</x:f>
        <x:v>667.08</x:v>
      </x:c>
      <x:c r="I62" s="10" t="n">
        <x:f>'Rate sources'!E61</x:f>
        <x:v>514.08</x:v>
      </x:c>
      <x:c r="J62" s="10" t="n">
        <x:f>'Rate sources'!F61</x:f>
        <x:v>973.08</x:v>
      </x:c>
      <x:c r="K62" s="10" t="n">
        <x:f>'Rate sources'!D61</x:f>
        <x:v>667.08</x:v>
      </x:c>
      <x:c r="L62" s="10" t="n">
        <x:f>'Rate sources'!E61</x:f>
        <x:v>514.08</x:v>
      </x:c>
      <x:c r="M62" s="10" t="n">
        <x:f>'Rate sources'!F61</x:f>
        <x:v>973.08</x:v>
      </x:c>
      <x:c r="N62" s="2"/>
    </x:row>
    <x:row r="63" ht="42" customHeight="1">
      <x:c r="A63" s="13" t="str">
        <x:v>BMI / Enroll Prime</x:v>
      </x:c>
      <x:c r="B63" s="13" t="str">
        <x:v>BMI MEC Classic</x:v>
      </x:c>
      <x:c r="C63" s="13" t="str">
        <x:v>MEC / preventive</x:v>
      </x:c>
      <x:c r="D63" s="13" t="str">
        <x:v>PHCS per BMI brochure; Extended PPO per lookup guide, exact access unverified</x:v>
      </x:c>
      <x:c r="E63" s="11" t="n">
        <x:f>'Rate sources'!D62</x:f>
        <x:v>181.9</x:v>
      </x:c>
      <x:c r="F63" s="11" t="n">
        <x:f>'Rate sources'!E62</x:f>
        <x:v>127.5</x:v>
      </x:c>
      <x:c r="G63" s="11" t="n">
        <x:f>'Rate sources'!F62</x:f>
        <x:v>231.67</x:v>
      </x:c>
      <x:c r="H63" s="11" t="n">
        <x:f>'Rate sources'!D62</x:f>
        <x:v>181.9</x:v>
      </x:c>
      <x:c r="I63" s="11" t="n">
        <x:f>'Rate sources'!E62</x:f>
        <x:v>127.5</x:v>
      </x:c>
      <x:c r="J63" s="11" t="n">
        <x:f>'Rate sources'!F62</x:f>
        <x:v>231.67</x:v>
      </x:c>
      <x:c r="K63" s="11" t="n">
        <x:f>'Rate sources'!D62</x:f>
        <x:v>181.9</x:v>
      </x:c>
      <x:c r="L63" s="11" t="n">
        <x:f>'Rate sources'!E62</x:f>
        <x:v>127.5</x:v>
      </x:c>
      <x:c r="M63" s="11" t="n">
        <x:f>'Rate sources'!F62</x:f>
        <x:v>231.67</x:v>
      </x:c>
      <x:c r="N63" s="2"/>
    </x:row>
    <x:row r="64" ht="42" customHeight="1">
      <x:c r="A64" s="12" t="str">
        <x:v>BMI / Enroll Prime</x:v>
      </x:c>
      <x:c r="B64" s="12" t="str">
        <x:v>BMI MEC Choice</x:v>
      </x:c>
      <x:c r="C64" s="12" t="str">
        <x:v>MEC / preventive</x:v>
      </x:c>
      <x:c r="D64" s="12" t="str">
        <x:v>PHCS per BMI brochure; Extended PPO per lookup guide, exact access unverified</x:v>
      </x:c>
      <x:c r="E64" s="10" t="n">
        <x:f>'Rate sources'!D63</x:f>
        <x:v>290.7</x:v>
      </x:c>
      <x:c r="F64" s="10" t="n">
        <x:f>'Rate sources'!E63</x:f>
        <x:v>209.1</x:v>
      </x:c>
      <x:c r="G64" s="10" t="n">
        <x:f>'Rate sources'!F63</x:f>
        <x:v>399.5</x:v>
      </x:c>
      <x:c r="H64" s="10" t="n">
        <x:f>'Rate sources'!D63</x:f>
        <x:v>290.7</x:v>
      </x:c>
      <x:c r="I64" s="10" t="n">
        <x:f>'Rate sources'!E63</x:f>
        <x:v>209.1</x:v>
      </x:c>
      <x:c r="J64" s="10" t="n">
        <x:f>'Rate sources'!F63</x:f>
        <x:v>399.5</x:v>
      </x:c>
      <x:c r="K64" s="10" t="n">
        <x:f>'Rate sources'!D63</x:f>
        <x:v>290.7</x:v>
      </x:c>
      <x:c r="L64" s="10" t="n">
        <x:f>'Rate sources'!E63</x:f>
        <x:v>209.1</x:v>
      </x:c>
      <x:c r="M64" s="10" t="n">
        <x:f>'Rate sources'!F63</x:f>
        <x:v>399.5</x:v>
      </x:c>
      <x:c r="N64" s="2"/>
    </x:row>
    <x:row r="65" ht="42" customHeight="1">
      <x:c r="A65" s="13" t="str">
        <x:v>Vault / ACUSA</x:v>
      </x:c>
      <x:c r="B65" s="13" t="str">
        <x:v>Vault Elite Health USA</x:v>
      </x:c>
      <x:c r="C65" s="13" t="str">
        <x:v>Limited copay</x:v>
      </x:c>
      <x:c r="D65" s="13" t="str">
        <x:v>Unidentified for Elite Health USA (proposal only)</x:v>
      </x:c>
      <x:c r="E65" s="11" t="str">
        <x:f>'Rate sources'!D64</x:f>
        <x:v>Unverified</x:v>
      </x:c>
      <x:c r="F65" s="11" t="str">
        <x:f>'Rate sources'!E64</x:f>
        <x:v>Unverified</x:v>
      </x:c>
      <x:c r="G65" s="11" t="str">
        <x:f>'Rate sources'!F64</x:f>
        <x:v>Unverified</x:v>
      </x:c>
      <x:c r="H65" s="11" t="str">
        <x:f>'Rate sources'!D64</x:f>
        <x:v>Unverified</x:v>
      </x:c>
      <x:c r="I65" s="11" t="str">
        <x:f>'Rate sources'!E64</x:f>
        <x:v>Unverified</x:v>
      </x:c>
      <x:c r="J65" s="11" t="str">
        <x:f>'Rate sources'!F64</x:f>
        <x:v>Unverified</x:v>
      </x:c>
      <x:c r="K65" s="11" t="str">
        <x:f>'Rate sources'!D64</x:f>
        <x:v>Unverified</x:v>
      </x:c>
      <x:c r="L65" s="11" t="str">
        <x:f>'Rate sources'!E64</x:f>
        <x:v>Unverified</x:v>
      </x:c>
      <x:c r="M65" s="11" t="str">
        <x:f>'Rate sources'!F64</x:f>
        <x:v>Unverified</x:v>
      </x:c>
      <x:c r="N65" s="2"/>
    </x:row>
    <x:row r="66" ht="42" customHeight="1">
      <x:c r="A66" s="12" t="str">
        <x:v>Vault / ACUSA</x:v>
      </x:c>
      <x:c r="B66" s="12" t="str">
        <x:v>Vault Elite Health Plus USA</x:v>
      </x:c>
      <x:c r="C66" s="12" t="str">
        <x:v>Limited copay</x:v>
      </x:c>
      <x:c r="D66" s="12" t="str">
        <x:v>First Health primary; MultiPlan secondary; facilities reference priced</x:v>
      </x:c>
      <x:c r="E66" s="10" t="str">
        <x:f>'Rate sources'!D65</x:f>
        <x:v>Unverified</x:v>
      </x:c>
      <x:c r="F66" s="10" t="str">
        <x:f>'Rate sources'!E65</x:f>
        <x:v>Unverified</x:v>
      </x:c>
      <x:c r="G66" s="10" t="str">
        <x:f>'Rate sources'!F65</x:f>
        <x:v>Unverified</x:v>
      </x:c>
      <x:c r="H66" s="10" t="str">
        <x:f>'Rate sources'!D65</x:f>
        <x:v>Unverified</x:v>
      </x:c>
      <x:c r="I66" s="10" t="str">
        <x:f>'Rate sources'!E65</x:f>
        <x:v>Unverified</x:v>
      </x:c>
      <x:c r="J66" s="10" t="str">
        <x:f>'Rate sources'!F65</x:f>
        <x:v>Unverified</x:v>
      </x:c>
      <x:c r="K66" s="10" t="str">
        <x:f>'Rate sources'!D65</x:f>
        <x:v>Unverified</x:v>
      </x:c>
      <x:c r="L66" s="10" t="str">
        <x:f>'Rate sources'!E65</x:f>
        <x:v>Unverified</x:v>
      </x:c>
      <x:c r="M66" s="10" t="str">
        <x:f>'Rate sources'!F65</x:f>
        <x:v>Unverified</x:v>
      </x:c>
      <x:c r="N66" s="2"/>
    </x:row>
    <x:row r="67" ht="42" customHeight="1">
      <x:c r="A67" s="13" t="str">
        <x:v>Vault / ACUSA</x:v>
      </x:c>
      <x:c r="B67" s="13" t="str">
        <x:v>Vault Bronze 2</x:v>
      </x:c>
      <x:c r="C67" s="13" t="str">
        <x:v>Limited copay</x:v>
      </x:c>
      <x:c r="D67" s="13" t="str">
        <x:v>PHCS Practitioner &amp; Ancillary; hospitals reference priced, outside provider network</x:v>
      </x:c>
      <x:c r="E67" s="11" t="str">
        <x:f>'Rate sources'!D66</x:f>
        <x:v>Unverified</x:v>
      </x:c>
      <x:c r="F67" s="11" t="str">
        <x:f>'Rate sources'!E66</x:f>
        <x:v>Unverified</x:v>
      </x:c>
      <x:c r="G67" s="11" t="str">
        <x:f>'Rate sources'!F66</x:f>
        <x:v>Unverified</x:v>
      </x:c>
      <x:c r="H67" s="11" t="str">
        <x:f>'Rate sources'!D66</x:f>
        <x:v>Unverified</x:v>
      </x:c>
      <x:c r="I67" s="11" t="str">
        <x:f>'Rate sources'!E66</x:f>
        <x:v>Unverified</x:v>
      </x:c>
      <x:c r="J67" s="11" t="str">
        <x:f>'Rate sources'!F66</x:f>
        <x:v>Unverified</x:v>
      </x:c>
      <x:c r="K67" s="11" t="str">
        <x:f>'Rate sources'!D66</x:f>
        <x:v>Unverified</x:v>
      </x:c>
      <x:c r="L67" s="11" t="str">
        <x:f>'Rate sources'!E66</x:f>
        <x:v>Unverified</x:v>
      </x:c>
      <x:c r="M67" s="11" t="str">
        <x:f>'Rate sources'!F66</x:f>
        <x:v>Unverified</x:v>
      </x:c>
      <x:c r="N67" s="2"/>
    </x:row>
    <x:row r="68" ht="42" customHeight="1">
      <x:c r="A68" s="12" t="str">
        <x:v>Vault / ACUSA</x:v>
      </x:c>
      <x:c r="B68" s="12" t="str">
        <x:v>Vault Silver 2</x:v>
      </x:c>
      <x:c r="C68" s="12" t="str">
        <x:v>Limited copay</x:v>
      </x:c>
      <x:c r="D68" s="12" t="str">
        <x:v>PHCS Practitioner &amp; Ancillary; hospitals reference priced, outside provider network</x:v>
      </x:c>
      <x:c r="E68" s="10" t="str">
        <x:f>'Rate sources'!D67</x:f>
        <x:v>Unverified</x:v>
      </x:c>
      <x:c r="F68" s="10" t="str">
        <x:f>'Rate sources'!E67</x:f>
        <x:v>Unverified</x:v>
      </x:c>
      <x:c r="G68" s="10" t="str">
        <x:f>'Rate sources'!F67</x:f>
        <x:v>Unverified</x:v>
      </x:c>
      <x:c r="H68" s="10" t="str">
        <x:f>'Rate sources'!D67</x:f>
        <x:v>Unverified</x:v>
      </x:c>
      <x:c r="I68" s="10" t="str">
        <x:f>'Rate sources'!E67</x:f>
        <x:v>Unverified</x:v>
      </x:c>
      <x:c r="J68" s="10" t="str">
        <x:f>'Rate sources'!F67</x:f>
        <x:v>Unverified</x:v>
      </x:c>
      <x:c r="K68" s="10" t="str">
        <x:f>'Rate sources'!D67</x:f>
        <x:v>Unverified</x:v>
      </x:c>
      <x:c r="L68" s="10" t="str">
        <x:f>'Rate sources'!E67</x:f>
        <x:v>Unverified</x:v>
      </x:c>
      <x:c r="M68" s="10" t="str">
        <x:f>'Rate sources'!F67</x:f>
        <x:v>Unverified</x:v>
      </x:c>
      <x:c r="N68" s="2"/>
    </x:row>
    <x:row r="69" ht="25" customHeight="1">
      <x:c r="A69" s="2"/>
      <x:c r="B69" s="2"/>
      <x:c r="C69" s="2"/>
      <x:c r="D69" s="2"/>
      <x:c r="E69" s="2"/>
      <x:c r="F69" s="2"/>
      <x:c r="G69" s="2"/>
      <x:c r="H69" s="2"/>
      <x:c r="I69" s="2"/>
      <x:c r="J69" s="2"/>
      <x:c r="K69" s="2"/>
      <x:c r="L69" s="2"/>
      <x:c r="M69" s="2"/>
      <x:c r="N69" s="2"/>
    </x:row>
    <x:row r="70" ht="25" customHeight="1">
      <x:c r="A70" s="2"/>
      <x:c r="B70" s="2"/>
      <x:c r="C70" s="2"/>
      <x:c r="D70" s="2"/>
      <x:c r="E70" s="2"/>
      <x:c r="F70" s="2"/>
      <x:c r="G70" s="2"/>
      <x:c r="H70" s="2"/>
      <x:c r="I70" s="2"/>
      <x:c r="J70" s="2"/>
      <x:c r="K70" s="2"/>
      <x:c r="L70" s="2"/>
      <x:c r="M70" s="2"/>
      <x:c r="N70" s="2"/>
    </x:row>
    <x:row r="71" ht="25" customHeight="1">
      <x:c r="A71" s="2"/>
      <x:c r="B71" s="2"/>
      <x:c r="C71" s="2"/>
      <x:c r="D71" s="2"/>
      <x:c r="E71" s="2"/>
      <x:c r="F71" s="2"/>
      <x:c r="G71" s="2"/>
      <x:c r="H71" s="2"/>
      <x:c r="I71" s="2"/>
      <x:c r="J71" s="2"/>
      <x:c r="K71" s="2"/>
      <x:c r="L71" s="2"/>
      <x:c r="M71" s="2"/>
      <x:c r="N71" s="2"/>
    </x:row>
    <x:row r="72" ht="25" customHeight="1">
      <x:c r="A72" s="2"/>
      <x:c r="B72" s="2"/>
      <x:c r="C72" s="2"/>
      <x:c r="D72" s="2"/>
      <x:c r="E72" s="2"/>
      <x:c r="F72" s="2"/>
      <x:c r="G72" s="2"/>
      <x:c r="H72" s="2"/>
      <x:c r="I72" s="2"/>
      <x:c r="J72" s="2"/>
      <x:c r="K72" s="2"/>
      <x:c r="L72" s="2"/>
      <x:c r="M72" s="2"/>
      <x:c r="N72" s="2"/>
    </x:row>
    <x:row r="73" ht="25" customHeight="1">
      <x:c r="A73" s="2"/>
      <x:c r="B73" s="2"/>
      <x:c r="C73" s="2"/>
      <x:c r="D73" s="2"/>
      <x:c r="E73" s="2"/>
      <x:c r="F73" s="2"/>
      <x:c r="G73" s="2"/>
      <x:c r="H73" s="2"/>
      <x:c r="I73" s="2"/>
      <x:c r="J73" s="2"/>
      <x:c r="K73" s="2"/>
      <x:c r="L73" s="2"/>
      <x:c r="M73" s="2"/>
      <x:c r="N73" s="2"/>
    </x:row>
  </x:sheetData>
  <x:pageMargins left="0.7" right="0.7" top="0.75" bottom="0.75" header="0.3" footer="0.3"/>
  <x:tableParts count="1">
    <x:tablePart xmlns:r="http://schemas.openxmlformats.org/officeDocument/2006/relationships" r:id="R347c704589dd4f4d"/>
  </x:tableParts>
</x:worksheet>
</file>

<file path=xl/worksheets/sheet2.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 hidden="0" customWidth="1"/>
    <x:col min="2" max="2" width="42" hidden="0" customWidth="1"/>
    <x:col min="3" max="3" width="42" hidden="0" customWidth="1"/>
    <x:col min="4" max="4" width="42" hidden="0" customWidth="1"/>
    <x:col min="5" max="5" width="42" hidden="0" customWidth="1"/>
  </x:cols>
  <x:sheetData>
    <x:row r="1" ht="25" customHeight="1">
      <x:c r="A1" s="2"/>
      <x:c r="B1" s="2"/>
      <x:c r="C1" s="2"/>
      <x:c r="D1" s="2"/>
      <x:c r="E1" s="2"/>
    </x:row>
    <x:row r="2" ht="30" customHeight="1">
      <x:c r="A2" s="3" t="str">
        <x:v>Major medical side by side</x:v>
      </x:c>
      <x:c r="B2" s="2"/>
      <x:c r="C2" s="2"/>
      <x:c r="D2" s="2"/>
      <x:c r="E2" s="2"/>
    </x:row>
    <x:row r="3" ht="25" customHeight="1">
      <x:c r="A3" s="2"/>
      <x:c r="B3" s="2"/>
      <x:c r="C3" s="2"/>
      <x:c r="D3" s="2"/>
      <x:c r="E3" s="2"/>
    </x:row>
    <x:row r="4" ht="25" customHeight="1">
      <x:c r="A4" s="4" t="str">
        <x:v>INN = in network; OON = out of network; OOP = out of pocket. Coinsurance is the MEMBER share.</x:v>
      </x:c>
      <x:c r="B4" s="2"/>
      <x:c r="C4" s="2"/>
      <x:c r="D4" s="2"/>
      <x:c r="E4" s="2"/>
    </x:row>
    <x:row r="5" ht="25" customHeight="1">
      <x:c r="A5" s="4" t="str">
        <x:v>Unknown is not zero. Benefit caps, exclusions and balance bills may leave costs above the stated OOP limit.</x:v>
      </x:c>
      <x:c r="B5" s="2"/>
      <x:c r="C5" s="2"/>
      <x:c r="D5" s="2"/>
      <x:c r="E5" s="2"/>
    </x:row>
    <x:row r="6" ht="25" customHeight="1">
      <x:c r="A6" s="2"/>
      <x:c r="B6" s="2"/>
      <x:c r="C6" s="2"/>
      <x:c r="D6" s="2"/>
      <x:c r="E6" s="2"/>
    </x:row>
    <x:row r="7" ht="25" customHeight="1">
      <x:c r="A7" s="2"/>
      <x:c r="B7" s="2"/>
      <x:c r="C7" s="2"/>
      <x:c r="D7" s="2"/>
      <x:c r="E7" s="2"/>
    </x:row>
    <x:row r="8" ht="45" customHeight="1">
      <x:c r="A8" s="8" t="str">
        <x:v>Measure</x:v>
      </x:c>
      <x:c r="B8" s="8" t="str">
        <x:v>Ultimate PPO</x:v>
      </x:c>
      <x:c r="C8" s="8" t="str">
        <x:v>MM 1000</x:v>
      </x:c>
      <x:c r="D8" s="8" t="str">
        <x:v>MM 2500</x:v>
      </x:c>
      <x:c r="E8" s="8" t="str">
        <x:v>MedPerformance 3500 Classic</x:v>
      </x:c>
    </x:row>
    <x:row r="9" ht="40" customHeight="1">
      <x:c r="A9" s="12" t="str">
        <x:v>Entity</x:v>
      </x:c>
      <x:c r="B9" s="12" t="str">
        <x:v>Amerus</x:v>
      </x:c>
      <x:c r="C9" s="12" t="str">
        <x:v>Life-X</x:v>
      </x:c>
      <x:c r="D9" s="12" t="str">
        <x:v>Life-X</x:v>
      </x:c>
      <x:c r="E9" s="12" t="str">
        <x:v>EnrollPrime</x:v>
      </x:c>
    </x:row>
    <x:row r="10" ht="64" customHeight="1">
      <x:c r="A10" s="13" t="str">
        <x:v>Plan structure</x:v>
      </x:c>
      <x:c r="B10" s="13" t="str">
        <x:v>PPO</x:v>
      </x:c>
      <x:c r="C10" s="13" t="str">
        <x:v>PPO</x:v>
      </x:c>
      <x:c r="D10" s="13" t="str">
        <x:v>PPO</x:v>
      </x:c>
      <x:c r="E10" s="13" t="str">
        <x:v>PPO</x:v>
      </x:c>
    </x:row>
    <x:row r="11" ht="64" customHeight="1">
      <x:c r="A11" s="12" t="str">
        <x:v>Network</x:v>
      </x:c>
      <x:c r="B11" s="12" t="str">
        <x:v>Cigna PPO network; OON benefits included</x:v>
      </x:c>
      <x:c r="C11" s="12" t="str">
        <x:v>PHCS PPO</x:v>
      </x:c>
      <x:c r="D11" s="12" t="str">
        <x:v>PHCS PPO</x:v>
      </x:c>
      <x:c r="E11" s="12" t="str">
        <x:v>Cigna PPO</x:v>
      </x:c>
    </x:row>
    <x:row r="12" ht="40" customHeight="1">
      <x:c r="A12" s="13" t="str">
        <x:v>INN individual deductible</x:v>
      </x:c>
      <x:c r="B12" s="14" t="n">
        <x:v>0</x:v>
      </x:c>
      <x:c r="C12" s="14" t="n">
        <x:v>1000</x:v>
      </x:c>
      <x:c r="D12" s="14" t="n">
        <x:v>2500</x:v>
      </x:c>
      <x:c r="E12" s="14" t="n">
        <x:v>3500</x:v>
      </x:c>
    </x:row>
    <x:row r="13" ht="40" customHeight="1">
      <x:c r="A13" s="12" t="str">
        <x:v>INN family deductible</x:v>
      </x:c>
      <x:c r="B13" s="15" t="n">
        <x:v>0</x:v>
      </x:c>
      <x:c r="C13" s="15" t="n">
        <x:v>2000</x:v>
      </x:c>
      <x:c r="D13" s="15" t="n">
        <x:v>5000</x:v>
      </x:c>
      <x:c r="E13" s="15" t="n">
        <x:v>7000</x:v>
      </x:c>
    </x:row>
    <x:row r="14" ht="40" customHeight="1">
      <x:c r="A14" s="13" t="str">
        <x:v>OON individual deductible</x:v>
      </x:c>
      <x:c r="B14" s="14" t="n">
        <x:v>7000</x:v>
      </x:c>
      <x:c r="C14" s="14" t="n">
        <x:v>2000</x:v>
      </x:c>
      <x:c r="D14" s="14" t="n">
        <x:v>5000</x:v>
      </x:c>
      <x:c r="E14" s="14" t="n">
        <x:v>7000</x:v>
      </x:c>
    </x:row>
    <x:row r="15" ht="40" customHeight="1">
      <x:c r="A15" s="12" t="str">
        <x:v>OON family deductible</x:v>
      </x:c>
      <x:c r="B15" s="15" t="n">
        <x:v>14000</x:v>
      </x:c>
      <x:c r="C15" s="15" t="n">
        <x:v>4000</x:v>
      </x:c>
      <x:c r="D15" s="15" t="n">
        <x:v>10000</x:v>
      </x:c>
      <x:c r="E15" s="15" t="n">
        <x:v>14000</x:v>
      </x:c>
    </x:row>
    <x:row r="16" ht="40" customHeight="1">
      <x:c r="A16" s="13" t="str">
        <x:v>INN member coinsurance</x:v>
      </x:c>
      <x:c r="B16" s="16" t="n">
        <x:v>0</x:v>
      </x:c>
      <x:c r="C16" s="16" t="n">
        <x:v>0.2</x:v>
      </x:c>
      <x:c r="D16" s="16" t="n">
        <x:v>0.2</x:v>
      </x:c>
      <x:c r="E16" s="16" t="n">
        <x:v>0.2</x:v>
      </x:c>
    </x:row>
    <x:row r="17" ht="64" customHeight="1">
      <x:c r="A17" s="12" t="str">
        <x:v>OON member coinsurance</x:v>
      </x:c>
      <x:c r="B17" s="17" t="n">
        <x:v>0.5</x:v>
      </x:c>
      <x:c r="C17" s="17" t="n">
        <x:v>0.3</x:v>
      </x:c>
      <x:c r="D17" s="17" t="n">
        <x:v>0.3</x:v>
      </x:c>
      <x:c r="E17" s="17" t="n">
        <x:v>0.4</x:v>
      </x:c>
    </x:row>
    <x:row r="18" ht="40" customHeight="1">
      <x:c r="A18" s="13" t="str">
        <x:v>INN individual OOP limit</x:v>
      </x:c>
      <x:c r="B18" s="14" t="n">
        <x:v>6000</x:v>
      </x:c>
      <x:c r="C18" s="14" t="n">
        <x:v>10600</x:v>
      </x:c>
      <x:c r="D18" s="14" t="n">
        <x:v>10600</x:v>
      </x:c>
      <x:c r="E18" s="14" t="n">
        <x:v>7350</x:v>
      </x:c>
    </x:row>
    <x:row r="19" ht="40" customHeight="1">
      <x:c r="A19" s="12" t="str">
        <x:v>INN family OOP limit</x:v>
      </x:c>
      <x:c r="B19" s="15" t="n">
        <x:v>12000</x:v>
      </x:c>
      <x:c r="C19" s="15" t="n">
        <x:v>21200</x:v>
      </x:c>
      <x:c r="D19" s="15" t="n">
        <x:v>21200</x:v>
      </x:c>
      <x:c r="E19" s="15" t="n">
        <x:v>14700</x:v>
      </x:c>
    </x:row>
    <x:row r="20" ht="40" customHeight="1">
      <x:c r="A20" s="13" t="str">
        <x:v>OON individual OOP limit</x:v>
      </x:c>
      <x:c r="B20" s="14" t="n">
        <x:v>14000</x:v>
      </x:c>
      <x:c r="C20" s="14" t="n">
        <x:v>20300</x:v>
      </x:c>
      <x:c r="D20" s="14" t="n">
        <x:v>20300</x:v>
      </x:c>
      <x:c r="E20" s="14" t="n">
        <x:v>14700</x:v>
      </x:c>
    </x:row>
    <x:row r="21" ht="40" customHeight="1">
      <x:c r="A21" s="12" t="str">
        <x:v>OON family OOP limit</x:v>
      </x:c>
      <x:c r="B21" s="15" t="n">
        <x:v>28000</x:v>
      </x:c>
      <x:c r="C21" s="15" t="n">
        <x:v>40600</x:v>
      </x:c>
      <x:c r="D21" s="15" t="n">
        <x:v>40600</x:v>
      </x:c>
      <x:c r="E21" s="15" t="n">
        <x:v>29400</x:v>
      </x:c>
    </x:row>
    <x:row r="22" ht="112" customHeight="1">
      <x:c r="A22" s="13" t="str">
        <x:v>Gap benefit</x:v>
      </x:c>
      <x:c r="B22" s="13" t="str">
        <x:v>Outlook Plan 2 Cigna PPO email says integrated gap leaves $0 net deductible and OOP maximum; listed copays still apply. Confirm eligible expenses and scope against the gap certificate and SBC examples.</x:v>
      </x:c>
      <x:c r="C22" s="13" t="str">
        <x:v>Not applicable</x:v>
      </x:c>
      <x:c r="D22" s="13" t="str">
        <x:v>Not applicable</x:v>
      </x:c>
      <x:c r="E22" s="13" t="str">
        <x:v>Not applicable</x:v>
      </x:c>
    </x:row>
    <x:row r="23" ht="64" customHeight="1">
      <x:c r="A23" s="12" t="str">
        <x:v>Primary care</x:v>
      </x:c>
      <x:c r="B23" s="12" t="str">
        <x:v>$25 copay; deductible waived</x:v>
      </x:c>
      <x:c r="C23" s="12" t="str">
        <x:v>$25 copay</x:v>
      </x:c>
      <x:c r="D23" s="12" t="str">
        <x:v>$25 copay</x:v>
      </x:c>
      <x:c r="E23" s="12" t="str">
        <x:v>$45 copay</x:v>
      </x:c>
    </x:row>
    <x:row r="24" ht="64" customHeight="1">
      <x:c r="A24" s="13" t="str">
        <x:v>Specialist</x:v>
      </x:c>
      <x:c r="B24" s="13" t="str">
        <x:v>$50 copay; deductible waived</x:v>
      </x:c>
      <x:c r="C24" s="13" t="str">
        <x:v>$40 copay</x:v>
      </x:c>
      <x:c r="D24" s="13" t="str">
        <x:v>$40 copay</x:v>
      </x:c>
      <x:c r="E24" s="13" t="str">
        <x:v>$90 copay</x:v>
      </x:c>
    </x:row>
    <x:row r="25" ht="112" customHeight="1">
      <x:c r="A25" s="12" t="str">
        <x:v>Hospital</x:v>
      </x:c>
      <x:c r="B25" s="12" t="str">
        <x:v>0% for listed inpatient facility/surgeon benefits</x:v>
      </x:c>
      <x:c r="C25" s="12" t="str">
        <x:v>20% after deductible; ICU 30 days; inpatient rehabilitation 30 days</x:v>
      </x:c>
      <x:c r="D25" s="12" t="str">
        <x:v>20% after deductible; ICU 30 days; inpatient rehabilitation 30 days</x:v>
      </x:c>
      <x:c r="E25" s="12" t="str">
        <x:v>20% after deductible</x:v>
      </x:c>
    </x:row>
    <x:row r="26" ht="112" customHeight="1">
      <x:c r="A26" s="13" t="str">
        <x:v>Prescription drugs</x:v>
      </x:c>
      <x:c r="B26" s="13" t="str">
        <x:v>$0 generic / $35 preferred / $75 nonpreferred / $200 specialty; advocacy conditions apply</x:v>
      </x:c>
      <x:c r="C26" s="13" t="str">
        <x:v>$10 generic / $90 preferred / $110 nonpreferred; specialty assistance, not a guaranteed insured specialty benefit</x:v>
      </x:c>
      <x:c r="D26" s="13" t="str">
        <x:v>$10 generic / $90 preferred / $110 nonpreferred; specialty assistance, not a guaranteed insured specialty benefit</x:v>
      </x:c>
      <x:c r="E26" s="13" t="str">
        <x:v>$15 generic / $65 preferred / $100 nonpreferred; specialty 50%</x:v>
      </x:c>
    </x:row>
    <x:row r="27" ht="64" customHeight="1">
      <x:c r="A27" s="12" t="str">
        <x:v>Benefit maximum</x:v>
      </x:c>
      <x:c r="B27" s="12" t="str">
        <x:v>Not stated</x:v>
      </x:c>
      <x:c r="C27" s="12" t="str">
        <x:v>Unlimited annual benefit; service limits still apply</x:v>
      </x:c>
      <x:c r="D27" s="12" t="str">
        <x:v>Unlimited annual benefit; service limits still apply</x:v>
      </x:c>
      <x:c r="E27" s="12" t="str">
        <x:v>No lifetime maximum</x:v>
      </x:c>
    </x:row>
    <x:row r="28" ht="112" customHeight="1">
      <x:c r="A28" s="13" t="str">
        <x:v>Limits and unresolved terms</x:v>
      </x:c>
      <x:c r="B28" s="13" t="str">
        <x:v>SBC examples show 30% hospital cost share, unlike 0% in benefits table; obtain current final schedule. OON balance billing excluded from OOP maximum. Outlook limitations sheet lists 25 chiropractic, 35 therapy, 60 home-health visits/year and requires precertification for many services; penalty may be denial. See Outlook O3.</x:v>
      </x:c>
      <x:c r="C28" s="13" t="str">
        <x:v>Elective surgery excluded first 90 days. Preauthorization required. Summary excludes organ transplants, while service table lists INN transplant at 20%: unresolved conflict. Acute temporary dialysis is listed despite general dialysis exclusion. Substance abuse listed as excluded.</x:v>
      </x:c>
      <x:c r="D28" s="13" t="str">
        <x:v>Elective surgery excluded first 90 days. Preauthorization required. Summary excludes organ transplants, while service table lists INN transplant at 20%: unresolved conflict. Acute temporary dialysis is listed despite general dialysis exclusion. Substance abuse listed as excluded.</x:v>
      </x:c>
      <x:c r="E28" s="13" t="str">
        <x:v>ERISA-sponsored per brochure; eligibility must be confirmed. Nonemergency foreign care and gene therapy excluded. Allowable-charge limits apply.</x:v>
      </x:c>
    </x:row>
    <x:row r="29" ht="64" customHeight="1">
      <x:c r="A29" s="12" t="str">
        <x:v>Source and pages</x:v>
      </x:c>
      <x:c r="B29" s="15" t="str">
        <x:v>S08 + S09; SBC 1-5; brochure 2-5</x:v>
      </x:c>
      <x:c r="C29" s="15" t="str">
        <x:v>S30; 2-5</x:v>
      </x:c>
      <x:c r="D29" s="15" t="str">
        <x:v>S19; 2-5</x:v>
      </x:c>
      <x:c r="E29" s="15" t="str">
        <x:v>S63; 1-5</x:v>
      </x:c>
    </x:row>
    <x:row r="30" ht="25" customHeight="1">
      <x:c r="A30" s="2"/>
      <x:c r="B30" s="2"/>
      <x:c r="C30" s="2"/>
      <x:c r="D30" s="2"/>
      <x:c r="E30" s="2"/>
    </x:row>
    <x:row r="31" ht="25" customHeight="1">
      <x:c r="A31" s="2"/>
      <x:c r="B31" s="2"/>
      <x:c r="C31" s="2"/>
      <x:c r="D31" s="2"/>
      <x:c r="E31" s="2"/>
    </x:row>
    <x:row r="32" ht="25" customHeight="1">
      <x:c r="A32" s="2"/>
      <x:c r="B32" s="2"/>
      <x:c r="C32" s="2"/>
      <x:c r="D32" s="2"/>
      <x:c r="E32" s="2"/>
    </x:row>
    <x:row r="33" ht="25" customHeight="1">
      <x:c r="A33" s="2"/>
      <x:c r="B33" s="2"/>
      <x:c r="C33" s="2"/>
      <x:c r="D33" s="2"/>
      <x:c r="E33" s="2"/>
    </x:row>
    <x:row r="34" ht="45" customHeight="1">
      <x:c r="A34" s="8" t="str">
        <x:v>Measure</x:v>
      </x:c>
      <x:c r="B34" s="8" t="str">
        <x:v>MM 3500</x:v>
      </x:c>
      <x:c r="C34" s="8" t="str">
        <x:v>MM 4900</x:v>
      </x:c>
      <x:c r="D34" s="8" t="str">
        <x:v>MedPerformance 5000 Classic</x:v>
      </x:c>
      <x:c r="E34" s="8" t="str">
        <x:v>MM 7250</x:v>
      </x:c>
    </x:row>
    <x:row r="35" ht="40" customHeight="1">
      <x:c r="A35" s="12" t="str">
        <x:v>Entity</x:v>
      </x:c>
      <x:c r="B35" s="12" t="str">
        <x:v>Life-X</x:v>
      </x:c>
      <x:c r="C35" s="12" t="str">
        <x:v>Life-X</x:v>
      </x:c>
      <x:c r="D35" s="12" t="str">
        <x:v>EnrollPrime</x:v>
      </x:c>
      <x:c r="E35" s="12" t="str">
        <x:v>Life-X</x:v>
      </x:c>
    </x:row>
    <x:row r="36" ht="64" customHeight="1">
      <x:c r="A36" s="13" t="str">
        <x:v>Plan structure</x:v>
      </x:c>
      <x:c r="B36" s="13" t="str">
        <x:v>PPO</x:v>
      </x:c>
      <x:c r="C36" s="13" t="str">
        <x:v>PPO</x:v>
      </x:c>
      <x:c r="D36" s="13" t="str">
        <x:v>PPO</x:v>
      </x:c>
      <x:c r="E36" s="13" t="str">
        <x:v>PPO</x:v>
      </x:c>
    </x:row>
    <x:row r="37" ht="64" customHeight="1">
      <x:c r="A37" s="12" t="str">
        <x:v>Network</x:v>
      </x:c>
      <x:c r="B37" s="12" t="str">
        <x:v>PHCS PPO</x:v>
      </x:c>
      <x:c r="C37" s="12" t="str">
        <x:v>PHCS PPO</x:v>
      </x:c>
      <x:c r="D37" s="12" t="str">
        <x:v>Cigna PPO</x:v>
      </x:c>
      <x:c r="E37" s="12" t="str">
        <x:v>PHCS PPO</x:v>
      </x:c>
    </x:row>
    <x:row r="38" ht="40" customHeight="1">
      <x:c r="A38" s="13" t="str">
        <x:v>INN individual deductible</x:v>
      </x:c>
      <x:c r="B38" s="14" t="n">
        <x:v>3500</x:v>
      </x:c>
      <x:c r="C38" s="14" t="n">
        <x:v>4900</x:v>
      </x:c>
      <x:c r="D38" s="14" t="n">
        <x:v>5000</x:v>
      </x:c>
      <x:c r="E38" s="14" t="n">
        <x:v>7250</x:v>
      </x:c>
    </x:row>
    <x:row r="39" ht="40" customHeight="1">
      <x:c r="A39" s="12" t="str">
        <x:v>INN family deductible</x:v>
      </x:c>
      <x:c r="B39" s="15" t="n">
        <x:v>7000</x:v>
      </x:c>
      <x:c r="C39" s="15" t="n">
        <x:v>9800</x:v>
      </x:c>
      <x:c r="D39" s="15" t="n">
        <x:v>10000</x:v>
      </x:c>
      <x:c r="E39" s="15" t="n">
        <x:v>14500</x:v>
      </x:c>
    </x:row>
    <x:row r="40" ht="40" customHeight="1">
      <x:c r="A40" s="13" t="str">
        <x:v>OON individual deductible</x:v>
      </x:c>
      <x:c r="B40" s="14" t="n">
        <x:v>7000</x:v>
      </x:c>
      <x:c r="C40" s="14" t="n">
        <x:v>9800</x:v>
      </x:c>
      <x:c r="D40" s="14" t="n">
        <x:v>10000</x:v>
      </x:c>
      <x:c r="E40" s="14" t="n">
        <x:v>14500</x:v>
      </x:c>
    </x:row>
    <x:row r="41" ht="40" customHeight="1">
      <x:c r="A41" s="12" t="str">
        <x:v>OON family deductible</x:v>
      </x:c>
      <x:c r="B41" s="15" t="n">
        <x:v>14000</x:v>
      </x:c>
      <x:c r="C41" s="15" t="n">
        <x:v>19600</x:v>
      </x:c>
      <x:c r="D41" s="15" t="n">
        <x:v>20000</x:v>
      </x:c>
      <x:c r="E41" s="15" t="n">
        <x:v>29000</x:v>
      </x:c>
    </x:row>
    <x:row r="42" ht="40" customHeight="1">
      <x:c r="A42" s="13" t="str">
        <x:v>INN member coinsurance</x:v>
      </x:c>
      <x:c r="B42" s="16" t="n">
        <x:v>0.2</x:v>
      </x:c>
      <x:c r="C42" s="16" t="n">
        <x:v>0.2</x:v>
      </x:c>
      <x:c r="D42" s="16" t="n">
        <x:v>0.2</x:v>
      </x:c>
      <x:c r="E42" s="16" t="n">
        <x:v>0.2</x:v>
      </x:c>
    </x:row>
    <x:row r="43" ht="64" customHeight="1">
      <x:c r="A43" s="12" t="str">
        <x:v>OON member coinsurance</x:v>
      </x:c>
      <x:c r="B43" s="17" t="n">
        <x:v>0.3</x:v>
      </x:c>
      <x:c r="C43" s="17" t="n">
        <x:v>0.3</x:v>
      </x:c>
      <x:c r="D43" s="17" t="n">
        <x:v>0.4</x:v>
      </x:c>
      <x:c r="E43" s="17" t="n">
        <x:v>0.3</x:v>
      </x:c>
    </x:row>
    <x:row r="44" ht="40" customHeight="1">
      <x:c r="A44" s="13" t="str">
        <x:v>INN individual OOP limit</x:v>
      </x:c>
      <x:c r="B44" s="14" t="n">
        <x:v>10600</x:v>
      </x:c>
      <x:c r="C44" s="14" t="n">
        <x:v>10600</x:v>
      </x:c>
      <x:c r="D44" s="14" t="n">
        <x:v>7350</x:v>
      </x:c>
      <x:c r="E44" s="14" t="n">
        <x:v>10600</x:v>
      </x:c>
    </x:row>
    <x:row r="45" ht="40" customHeight="1">
      <x:c r="A45" s="12" t="str">
        <x:v>INN family OOP limit</x:v>
      </x:c>
      <x:c r="B45" s="15" t="n">
        <x:v>21200</x:v>
      </x:c>
      <x:c r="C45" s="15" t="n">
        <x:v>21200</x:v>
      </x:c>
      <x:c r="D45" s="15" t="n">
        <x:v>14700</x:v>
      </x:c>
      <x:c r="E45" s="15" t="n">
        <x:v>21200</x:v>
      </x:c>
    </x:row>
    <x:row r="46" ht="40" customHeight="1">
      <x:c r="A46" s="13" t="str">
        <x:v>OON individual OOP limit</x:v>
      </x:c>
      <x:c r="B46" s="14" t="n">
        <x:v>20300</x:v>
      </x:c>
      <x:c r="C46" s="14" t="n">
        <x:v>20300</x:v>
      </x:c>
      <x:c r="D46" s="14" t="n">
        <x:v>14700</x:v>
      </x:c>
      <x:c r="E46" s="14" t="n">
        <x:v>20300</x:v>
      </x:c>
    </x:row>
    <x:row r="47" ht="40" customHeight="1">
      <x:c r="A47" s="12" t="str">
        <x:v>OON family OOP limit</x:v>
      </x:c>
      <x:c r="B47" s="15" t="n">
        <x:v>40600</x:v>
      </x:c>
      <x:c r="C47" s="15" t="n">
        <x:v>40600</x:v>
      </x:c>
      <x:c r="D47" s="15" t="n">
        <x:v>29400</x:v>
      </x:c>
      <x:c r="E47" s="15" t="n">
        <x:v>40600</x:v>
      </x:c>
    </x:row>
    <x:row r="48" ht="112" customHeight="1">
      <x:c r="A48" s="13" t="str">
        <x:v>Gap benefit</x:v>
      </x:c>
      <x:c r="B48" s="13" t="str">
        <x:v>Not applicable</x:v>
      </x:c>
      <x:c r="C48" s="13" t="str">
        <x:v>Not applicable</x:v>
      </x:c>
      <x:c r="D48" s="13" t="str">
        <x:v>Not applicable</x:v>
      </x:c>
      <x:c r="E48" s="13" t="str">
        <x:v>Not applicable</x:v>
      </x:c>
    </x:row>
    <x:row r="49" ht="64" customHeight="1">
      <x:c r="A49" s="12" t="str">
        <x:v>Primary care</x:v>
      </x:c>
      <x:c r="B49" s="12" t="str">
        <x:v>$25 copay</x:v>
      </x:c>
      <x:c r="C49" s="12" t="str">
        <x:v>$25 copay</x:v>
      </x:c>
      <x:c r="D49" s="12" t="str">
        <x:v>$45 copay</x:v>
      </x:c>
      <x:c r="E49" s="12" t="str">
        <x:v>$25 copay</x:v>
      </x:c>
    </x:row>
    <x:row r="50" ht="64" customHeight="1">
      <x:c r="A50" s="13" t="str">
        <x:v>Specialist</x:v>
      </x:c>
      <x:c r="B50" s="13" t="str">
        <x:v>$40 copay</x:v>
      </x:c>
      <x:c r="C50" s="13" t="str">
        <x:v>$40 copay</x:v>
      </x:c>
      <x:c r="D50" s="13" t="str">
        <x:v>$90 copay</x:v>
      </x:c>
      <x:c r="E50" s="13" t="str">
        <x:v>$40 copay</x:v>
      </x:c>
    </x:row>
    <x:row r="51" ht="112" customHeight="1">
      <x:c r="A51" s="12" t="str">
        <x:v>Hospital</x:v>
      </x:c>
      <x:c r="B51" s="12" t="str">
        <x:v>20% after deductible; ICU 30 days; inpatient rehabilitation 30 days</x:v>
      </x:c>
      <x:c r="C51" s="12" t="str">
        <x:v>20% after deductible; ICU 30 days; inpatient rehabilitation 30 days</x:v>
      </x:c>
      <x:c r="D51" s="12" t="str">
        <x:v>20% after deductible</x:v>
      </x:c>
      <x:c r="E51" s="12" t="str">
        <x:v>20% after deductible; ICU 30 days; inpatient rehabilitation 30 days</x:v>
      </x:c>
    </x:row>
    <x:row r="52" ht="112" customHeight="1">
      <x:c r="A52" s="13" t="str">
        <x:v>Prescription drugs</x:v>
      </x:c>
      <x:c r="B52" s="13" t="str">
        <x:v>$10 generic / $90 preferred / $110 nonpreferred; specialty assistance, not a guaranteed insured specialty benefit</x:v>
      </x:c>
      <x:c r="C52" s="13" t="str">
        <x:v>$10 generic / $90 preferred / $110 nonpreferred; specialty assistance, not a guaranteed insured specialty benefit</x:v>
      </x:c>
      <x:c r="D52" s="13" t="str">
        <x:v>$15 generic / $65 preferred / $100 nonpreferred; specialty 50%</x:v>
      </x:c>
      <x:c r="E52" s="13" t="str">
        <x:v>$10 generic / $90 preferred / $110 nonpreferred; specialty assistance, not a guaranteed insured specialty benefit</x:v>
      </x:c>
    </x:row>
    <x:row r="53" ht="64" customHeight="1">
      <x:c r="A53" s="12" t="str">
        <x:v>Benefit maximum</x:v>
      </x:c>
      <x:c r="B53" s="12" t="str">
        <x:v>Unlimited annual benefit; service limits still apply</x:v>
      </x:c>
      <x:c r="C53" s="12" t="str">
        <x:v>Unlimited annual benefit; service limits still apply</x:v>
      </x:c>
      <x:c r="D53" s="12" t="str">
        <x:v>No lifetime maximum</x:v>
      </x:c>
      <x:c r="E53" s="12" t="str">
        <x:v>Unlimited annual benefit; service limits still apply</x:v>
      </x:c>
    </x:row>
    <x:row r="54" ht="112" customHeight="1">
      <x:c r="A54" s="13" t="str">
        <x:v>Limits and unresolved terms</x:v>
      </x:c>
      <x:c r="B54" s="13" t="str">
        <x:v>Elective surgery excluded first 90 days. Preauthorization required. Summary excludes organ transplants, while service table lists INN transplant at 20%: unresolved conflict. Acute temporary dialysis is listed despite general dialysis exclusion. Substance abuse listed as excluded.</x:v>
      </x:c>
      <x:c r="C54" s="13" t="str">
        <x:v>Elective surgery excluded first 90 days. Preauthorization required. Summary excludes organ transplants, while service table lists INN transplant at 20%: unresolved conflict. Acute temporary dialysis is listed despite general dialysis exclusion. Substance abuse listed as excluded.</x:v>
      </x:c>
      <x:c r="D54" s="13" t="str">
        <x:v>ERISA-sponsored per brochure; eligibility must be confirmed. Nonemergency foreign care and gene therapy excluded. Allowable-charge limits apply. OON preventive/PCP/specialist rows show 60%, although general member share is 40%: unresolved discrepancy.</x:v>
      </x:c>
      <x:c r="E54" s="13" t="str">
        <x:v>Elective surgery excluded first 90 days. Preauthorization required. Summary excludes organ transplants, while service table lists INN transplant at 20%: unresolved conflict. Acute temporary dialysis is listed despite general dialysis exclusion. Substance abuse listed as excluded.</x:v>
      </x:c>
    </x:row>
    <x:row r="55" ht="64" customHeight="1">
      <x:c r="A55" s="12" t="str">
        <x:v>Source and pages</x:v>
      </x:c>
      <x:c r="B55" s="15" t="str">
        <x:v>S26; 2-5</x:v>
      </x:c>
      <x:c r="C55" s="15" t="str">
        <x:v>S23; 2-5</x:v>
      </x:c>
      <x:c r="D55" s="15" t="str">
        <x:v>S64; 1-5</x:v>
      </x:c>
      <x:c r="E55" s="15" t="str">
        <x:v>S27; 2-5</x:v>
      </x:c>
    </x:row>
    <x:row r="56" ht="25" customHeight="1">
      <x:c r="A56" s="2"/>
      <x:c r="B56" s="2"/>
      <x:c r="C56" s="2"/>
      <x:c r="D56" s="2"/>
      <x:c r="E56" s="2"/>
    </x:row>
    <x:row r="57" ht="25" customHeight="1">
      <x:c r="A57" s="2"/>
      <x:c r="B57" s="2"/>
      <x:c r="C57" s="2"/>
      <x:c r="D57" s="2"/>
      <x:c r="E57" s="2"/>
    </x:row>
    <x:row r="58" ht="25" customHeight="1">
      <x:c r="A58" s="2"/>
      <x:c r="B58" s="2"/>
      <x:c r="C58" s="2"/>
      <x:c r="D58" s="2"/>
      <x:c r="E58" s="2"/>
    </x:row>
    <x:row r="59" ht="25" customHeight="1">
      <x:c r="A59" s="2"/>
      <x:c r="B59" s="2"/>
      <x:c r="C59" s="2"/>
      <x:c r="D59" s="2"/>
      <x:c r="E59" s="2"/>
    </x:row>
    <x:row r="60" ht="45" customHeight="1">
      <x:c r="A60" s="8" t="str">
        <x:v>Measure</x:v>
      </x:c>
      <x:c r="B60" s="8" t="str">
        <x:v>MedPerformance 7350 Value</x:v>
      </x:c>
      <x:c r="C60" s="8" t="str">
        <x:v>Ultimate EPO 1500</x:v>
      </x:c>
      <x:c r="D60" s="8" t="str">
        <x:v>Ultimate EPO 3500</x:v>
      </x:c>
      <x:c r="E60" s="8" t="str">
        <x:v>AFI 4500 Copay</x:v>
      </x:c>
    </x:row>
    <x:row r="61" ht="40" customHeight="1">
      <x:c r="A61" s="12" t="str">
        <x:v>Entity</x:v>
      </x:c>
      <x:c r="B61" s="12" t="str">
        <x:v>EnrollPrime</x:v>
      </x:c>
      <x:c r="C61" s="12" t="str">
        <x:v>Amerus</x:v>
      </x:c>
      <x:c r="D61" s="12" t="str">
        <x:v>Amerus</x:v>
      </x:c>
      <x:c r="E61" s="12" t="str">
        <x:v>AFI / Enroll Prime</x:v>
      </x:c>
    </x:row>
    <x:row r="62" ht="64" customHeight="1">
      <x:c r="A62" s="13" t="str">
        <x:v>Plan structure</x:v>
      </x:c>
      <x:c r="B62" s="13" t="str">
        <x:v>PPO</x:v>
      </x:c>
      <x:c r="C62" s="13" t="str">
        <x:v>EPO</x:v>
      </x:c>
      <x:c r="D62" s="13" t="str">
        <x:v>EPO</x:v>
      </x:c>
      <x:c r="E62" s="13" t="str">
        <x:v>PPO</x:v>
      </x:c>
    </x:row>
    <x:row r="63" ht="64" customHeight="1">
      <x:c r="A63" s="12" t="str">
        <x:v>Network</x:v>
      </x:c>
      <x:c r="B63" s="12" t="str">
        <x:v>Cigna PPO</x:v>
      </x:c>
      <x:c r="C63" s="12" t="str">
        <x:v>Cigna PPO network; routine OON benefits excluded by EPO design</x:v>
      </x:c>
      <x:c r="D63" s="12" t="str">
        <x:v>Cigna PPO network; routine OON benefits excluded by EPO design</x:v>
      </x:c>
      <x:c r="E63" s="12" t="str">
        <x:v>PHCS Extended PPO per provider lookup guide; exact plan access unverified</x:v>
      </x:c>
    </x:row>
    <x:row r="64" ht="40" customHeight="1">
      <x:c r="A64" s="13" t="str">
        <x:v>INN individual deductible</x:v>
      </x:c>
      <x:c r="B64" s="14" t="n">
        <x:v>7350</x:v>
      </x:c>
      <x:c r="C64" s="14" t="n">
        <x:v>9000</x:v>
      </x:c>
      <x:c r="D64" s="14" t="n">
        <x:v>9000</x:v>
      </x:c>
      <x:c r="E64" s="14" t="n">
        <x:v>4500</x:v>
      </x:c>
    </x:row>
    <x:row r="65" ht="40" customHeight="1">
      <x:c r="A65" s="12" t="str">
        <x:v>INN family deductible</x:v>
      </x:c>
      <x:c r="B65" s="15" t="n">
        <x:v>14700</x:v>
      </x:c>
      <x:c r="C65" s="15" t="n">
        <x:v>18000</x:v>
      </x:c>
      <x:c r="D65" s="15" t="n">
        <x:v>18000</x:v>
      </x:c>
      <x:c r="E65" s="15" t="n">
        <x:v>9000</x:v>
      </x:c>
    </x:row>
    <x:row r="66" ht="40" customHeight="1">
      <x:c r="A66" s="13" t="str">
        <x:v>OON individual deductible</x:v>
      </x:c>
      <x:c r="B66" s="14" t="n">
        <x:v>14700</x:v>
      </x:c>
      <x:c r="C66" s="13" t="str">
        <x:v>Not covered</x:v>
      </x:c>
      <x:c r="D66" s="13" t="str">
        <x:v>Not covered</x:v>
      </x:c>
      <x:c r="E66" s="14" t="n">
        <x:v>9000</x:v>
      </x:c>
    </x:row>
    <x:row r="67" ht="40" customHeight="1">
      <x:c r="A67" s="12" t="str">
        <x:v>OON family deductible</x:v>
      </x:c>
      <x:c r="B67" s="15" t="n">
        <x:v>29400</x:v>
      </x:c>
      <x:c r="C67" s="12" t="str">
        <x:v>Not covered</x:v>
      </x:c>
      <x:c r="D67" s="12" t="str">
        <x:v>Not covered</x:v>
      </x:c>
      <x:c r="E67" s="15" t="n">
        <x:v>18000</x:v>
      </x:c>
    </x:row>
    <x:row r="68" ht="40" customHeight="1">
      <x:c r="A68" s="13" t="str">
        <x:v>INN member coinsurance</x:v>
      </x:c>
      <x:c r="B68" s="16" t="n">
        <x:v>0</x:v>
      </x:c>
      <x:c r="C68" s="16" t="n">
        <x:v>0.3</x:v>
      </x:c>
      <x:c r="D68" s="16" t="n">
        <x:v>0.3</x:v>
      </x:c>
      <x:c r="E68" s="16" t="n">
        <x:v>0.3</x:v>
      </x:c>
    </x:row>
    <x:row r="69" ht="64" customHeight="1">
      <x:c r="A69" s="12" t="str">
        <x:v>OON member coinsurance</x:v>
      </x:c>
      <x:c r="B69" s="17" t="n">
        <x:v>0</x:v>
      </x:c>
      <x:c r="C69" s="12" t="str">
        <x:v>Not covered; emergency exceptions</x:v>
      </x:c>
      <x:c r="D69" s="12" t="str">
        <x:v>Not covered; emergency exceptions</x:v>
      </x:c>
      <x:c r="E69" s="12" t="str">
        <x:v>50% after OON deductible</x:v>
      </x:c>
    </x:row>
    <x:row r="70" ht="40" customHeight="1">
      <x:c r="A70" s="13" t="str">
        <x:v>INN individual OOP limit</x:v>
      </x:c>
      <x:c r="B70" s="14" t="n">
        <x:v>7350</x:v>
      </x:c>
      <x:c r="C70" s="14" t="n">
        <x:v>9000</x:v>
      </x:c>
      <x:c r="D70" s="14" t="n">
        <x:v>9000</x:v>
      </x:c>
      <x:c r="E70" s="14" t="n">
        <x:v>10600</x:v>
      </x:c>
    </x:row>
    <x:row r="71" ht="40" customHeight="1">
      <x:c r="A71" s="12" t="str">
        <x:v>INN family OOP limit</x:v>
      </x:c>
      <x:c r="B71" s="15" t="n">
        <x:v>14700</x:v>
      </x:c>
      <x:c r="C71" s="15" t="n">
        <x:v>18000</x:v>
      </x:c>
      <x:c r="D71" s="15" t="n">
        <x:v>18000</x:v>
      </x:c>
      <x:c r="E71" s="15" t="n">
        <x:v>21200</x:v>
      </x:c>
    </x:row>
    <x:row r="72" ht="40" customHeight="1">
      <x:c r="A72" s="13" t="str">
        <x:v>OON individual OOP limit</x:v>
      </x:c>
      <x:c r="B72" s="14" t="n">
        <x:v>14700</x:v>
      </x:c>
      <x:c r="C72" s="13" t="str">
        <x:v>Not covered</x:v>
      </x:c>
      <x:c r="D72" s="13" t="str">
        <x:v>Not covered</x:v>
      </x:c>
      <x:c r="E72" s="14" t="n">
        <x:v>21200</x:v>
      </x:c>
    </x:row>
    <x:row r="73" ht="40" customHeight="1">
      <x:c r="A73" s="12" t="str">
        <x:v>OON family OOP limit</x:v>
      </x:c>
      <x:c r="B73" s="15" t="n">
        <x:v>29400</x:v>
      </x:c>
      <x:c r="C73" s="12" t="str">
        <x:v>Not covered</x:v>
      </x:c>
      <x:c r="D73" s="12" t="str">
        <x:v>Not covered</x:v>
      </x:c>
      <x:c r="E73" s="15" t="n">
        <x:v>42400</x:v>
      </x:c>
    </x:row>
    <x:row r="74" ht="112" customHeight="1">
      <x:c r="A74" s="13" t="str">
        <x:v>Gap benefit</x:v>
      </x:c>
      <x:c r="B74" s="13" t="str">
        <x:v>Not applicable</x:v>
      </x:c>
      <x:c r="C74" s="13" t="str">
        <x:v>Eligible INN member exposure may reduce to $1,500 individual / $3,000 family; subject to gap terms. Not the underlying deductible.</x:v>
      </x:c>
      <x:c r="D74" s="13" t="str">
        <x:v>Eligible INN member exposure may reduce to $3,500 individual / $7,000 family; subject to gap terms. Not the underlying deductible.</x:v>
      </x:c>
      <x:c r="E74" s="13" t="str">
        <x:v>Not applicable</x:v>
      </x:c>
    </x:row>
    <x:row r="75" ht="64" customHeight="1">
      <x:c r="A75" s="12" t="str">
        <x:v>Primary care</x:v>
      </x:c>
      <x:c r="B75" s="12" t="str">
        <x:v>$50 copay</x:v>
      </x:c>
      <x:c r="C75" s="12" t="str">
        <x:v>$40 copay; deductible waived</x:v>
      </x:c>
      <x:c r="D75" s="12" t="str">
        <x:v>$40 copay; deductible waived</x:v>
      </x:c>
      <x:c r="E75" s="12" t="str">
        <x:v>$40</x:v>
      </x:c>
    </x:row>
    <x:row r="76" ht="64" customHeight="1">
      <x:c r="A76" s="13" t="str">
        <x:v>Specialist</x:v>
      </x:c>
      <x:c r="B76" s="13" t="str">
        <x:v>$100 copay</x:v>
      </x:c>
      <x:c r="C76" s="13" t="str">
        <x:v>$60 copay; deductible waived</x:v>
      </x:c>
      <x:c r="D76" s="13" t="str">
        <x:v>$60 copay; deductible waived</x:v>
      </x:c>
      <x:c r="E76" s="13" t="str">
        <x:v>$75</x:v>
      </x:c>
    </x:row>
    <x:row r="77" ht="112" customHeight="1">
      <x:c r="A77" s="12" t="str">
        <x:v>Hospital</x:v>
      </x:c>
      <x:c r="B77" s="12" t="str">
        <x:v>0% after deductible</x:v>
      </x:c>
      <x:c r="C77" s="12" t="str">
        <x:v>30% after underlying deductible; eligible gap offset may apply</x:v>
      </x:c>
      <x:c r="D77" s="12" t="str">
        <x:v>30% after underlying deductible; eligible gap offset may apply</x:v>
      </x:c>
      <x:c r="E77" s="12" t="str">
        <x:v>Ded + coins; $250/service for anesthesia, pathology, physician</x:v>
      </x:c>
    </x:row>
    <x:row r="78" ht="112" customHeight="1">
      <x:c r="A78" s="13" t="str">
        <x:v>Prescription drugs</x:v>
      </x:c>
      <x:c r="B78" s="13" t="str">
        <x:v>Generic/brand/specialty: 0% after deductible</x:v>
      </x:c>
      <x:c r="C78" s="13" t="str">
        <x:v>$0 generic / $35 preferred / $75 nonpreferred / $200 specialty; advocacy conditions apply</x:v>
      </x:c>
      <x:c r="D78" s="13" t="str">
        <x:v>$0 generic / $35 preferred / $75 nonpreferred / $200 specialty; advocacy conditions apply</x:v>
      </x:c>
      <x:c r="E78" s="13" t="str">
        <x:v>$0 preventive generic / $20 generic / $65 preferred brand / $95 non-preferred / $200 specialty</x:v>
      </x:c>
    </x:row>
    <x:row r="79" ht="64" customHeight="1">
      <x:c r="A79" s="12" t="str">
        <x:v>Benefit maximum</x:v>
      </x:c>
      <x:c r="B79" s="12" t="str">
        <x:v>No lifetime maximum</x:v>
      </x:c>
      <x:c r="C79" s="12" t="str">
        <x:v>Not stated</x:v>
      </x:c>
      <x:c r="D79" s="12" t="str">
        <x:v>Not stated</x:v>
      </x:c>
      <x:c r="E79" s="12" t="str">
        <x:v>See schedule</x:v>
      </x:c>
    </x:row>
    <x:row r="80" ht="112" customHeight="1">
      <x:c r="A80" s="13" t="str">
        <x:v>Limits and unresolved terms</x:v>
      </x:c>
      <x:c r="B80" s="13" t="str">
        <x:v>ERISA-sponsored per brochure; eligibility must be confirmed. Nonemergency foreign care and gene therapy excluded. Allowable-charge limits apply.</x:v>
      </x:c>
      <x:c r="C80" s="13" t="str">
        <x:v>Routine OON care excluded. SBC deductible and OOP are $9,000/$18,000; brochure headline reflects gap-adjusted amounts. Obtain gap contract and claim coordination terms. Outlook limitations sheet lists service visit caps and extensive precertification; failure may result in no coverage. See Outlook O3.</x:v>
      </x:c>
      <x:c r="D80" s="13" t="str">
        <x:v>Routine OON care excluded. SBC deductible and OOP are $9,000/$18,000; brochure headline reflects gap-adjusted amounts. Obtain gap contract and claim coordination terms. Outlook limitations sheet lists service visit caps and extensive precertification; failure may result in no coverage. See Outlook O3.</x:v>
      </x:c>
      <x:c r="E80" s="13" t="str">
        <x:v>Chiro $75, 30 visits; SNF/rehab $75/day 28 days; home health $50, 10 visits; hospice $0, 30 days lifetime; DME $50/item; 1 prosthetic/yr; detox 5 days; chemical use 30 days/visits combined; Chemo infusion $250/visit; oral chemo via specialty Rx; dialysis $250; Strictly worse than 3500 Copay except price. Schedule typo: 'N/A - not an HSA plan 50%'.</x:v>
      </x:c>
    </x:row>
    <x:row r="81" ht="64" customHeight="1">
      <x:c r="A81" s="12" t="str">
        <x:v>Source and pages</x:v>
      </x:c>
      <x:c r="B81" s="15" t="str">
        <x:v>S66; 1-5</x:v>
      </x:c>
      <x:c r="C81" s="15" t="str">
        <x:v>S03 + S04; SBC 1-4; brochure 2-5</x:v>
      </x:c>
      <x:c r="D81" s="15" t="str">
        <x:v>S05 + S06; SBC 1-4; brochure 2-5</x:v>
      </x:c>
      <x:c r="E81" s="15" t="str">
        <x:v>S48; 1-3</x:v>
      </x:c>
    </x:row>
    <x:row r="82" ht="25" customHeight="1">
      <x:c r="A82" s="2"/>
      <x:c r="B82" s="2"/>
      <x:c r="C82" s="2"/>
      <x:c r="D82" s="2"/>
      <x:c r="E82" s="2"/>
    </x:row>
    <x:row r="83" ht="25" customHeight="1">
      <x:c r="A83" s="2"/>
      <x:c r="B83" s="2"/>
      <x:c r="C83" s="2"/>
      <x:c r="D83" s="2"/>
      <x:c r="E83" s="2"/>
    </x:row>
    <x:row r="84" ht="25" customHeight="1">
      <x:c r="A84" s="2"/>
      <x:c r="B84" s="2"/>
      <x:c r="C84" s="2"/>
      <x:c r="D84" s="2"/>
      <x:c r="E84" s="2"/>
    </x:row>
    <x:row r="85" ht="25" customHeight="1">
      <x:c r="A85" s="2"/>
      <x:c r="B85" s="2"/>
      <x:c r="C85" s="2"/>
      <x:c r="D85" s="2"/>
      <x:c r="E85" s="2"/>
    </x:row>
    <x:row r="86" ht="45" customHeight="1">
      <x:c r="A86" s="8" t="str">
        <x:v>Measure</x:v>
      </x:c>
      <x:c r="B86" s="8" t="str">
        <x:v>AFI 3500 Copay</x:v>
      </x:c>
      <x:c r="C86" s="2"/>
      <x:c r="D86" s="2"/>
      <x:c r="E86" s="2"/>
    </x:row>
    <x:row r="87" ht="40" customHeight="1">
      <x:c r="A87" s="12" t="str">
        <x:v>Entity</x:v>
      </x:c>
      <x:c r="B87" s="12" t="str">
        <x:v>AFI / Enroll Prime</x:v>
      </x:c>
      <x:c r="C87" s="2"/>
      <x:c r="D87" s="2"/>
      <x:c r="E87" s="2"/>
    </x:row>
    <x:row r="88" ht="64" customHeight="1">
      <x:c r="A88" s="13" t="str">
        <x:v>Plan structure</x:v>
      </x:c>
      <x:c r="B88" s="13" t="str">
        <x:v>PPO</x:v>
      </x:c>
      <x:c r="C88" s="2"/>
      <x:c r="D88" s="2"/>
      <x:c r="E88" s="2"/>
    </x:row>
    <x:row r="89" ht="64" customHeight="1">
      <x:c r="A89" s="12" t="str">
        <x:v>Network</x:v>
      </x:c>
      <x:c r="B89" s="12" t="str">
        <x:v>PHCS Extended PPO per provider lookup guide; exact plan access unverified</x:v>
      </x:c>
      <x:c r="C89" s="2"/>
      <x:c r="D89" s="2"/>
      <x:c r="E89" s="2"/>
    </x:row>
    <x:row r="90" ht="40" customHeight="1">
      <x:c r="A90" s="13" t="str">
        <x:v>INN individual deductible</x:v>
      </x:c>
      <x:c r="B90" s="14" t="n">
        <x:v>3500</x:v>
      </x:c>
      <x:c r="C90" s="2"/>
      <x:c r="D90" s="2"/>
      <x:c r="E90" s="2"/>
    </x:row>
    <x:row r="91" ht="40" customHeight="1">
      <x:c r="A91" s="12" t="str">
        <x:v>INN family deductible</x:v>
      </x:c>
      <x:c r="B91" s="15" t="n">
        <x:v>7000</x:v>
      </x:c>
      <x:c r="C91" s="2"/>
      <x:c r="D91" s="2"/>
      <x:c r="E91" s="2"/>
    </x:row>
    <x:row r="92" ht="40" customHeight="1">
      <x:c r="A92" s="13" t="str">
        <x:v>OON individual deductible</x:v>
      </x:c>
      <x:c r="B92" s="14" t="n">
        <x:v>7000</x:v>
      </x:c>
      <x:c r="C92" s="2"/>
      <x:c r="D92" s="2"/>
      <x:c r="E92" s="2"/>
    </x:row>
    <x:row r="93" ht="40" customHeight="1">
      <x:c r="A93" s="12" t="str">
        <x:v>OON family deductible</x:v>
      </x:c>
      <x:c r="B93" s="15" t="n">
        <x:v>14000</x:v>
      </x:c>
      <x:c r="C93" s="2"/>
      <x:c r="D93" s="2"/>
      <x:c r="E93" s="2"/>
    </x:row>
    <x:row r="94" ht="40" customHeight="1">
      <x:c r="A94" s="13" t="str">
        <x:v>INN member coinsurance</x:v>
      </x:c>
      <x:c r="B94" s="16" t="n">
        <x:v>0.2</x:v>
      </x:c>
      <x:c r="C94" s="2"/>
      <x:c r="D94" s="2"/>
      <x:c r="E94" s="2"/>
    </x:row>
    <x:row r="95" ht="64" customHeight="1">
      <x:c r="A95" s="12" t="str">
        <x:v>OON member coinsurance</x:v>
      </x:c>
      <x:c r="B95" s="12" t="str">
        <x:v>50% after OON deductible</x:v>
      </x:c>
      <x:c r="C95" s="2"/>
      <x:c r="D95" s="2"/>
      <x:c r="E95" s="2"/>
    </x:row>
    <x:row r="96" ht="40" customHeight="1">
      <x:c r="A96" s="13" t="str">
        <x:v>INN individual OOP limit</x:v>
      </x:c>
      <x:c r="B96" s="14" t="n">
        <x:v>10600</x:v>
      </x:c>
      <x:c r="C96" s="2"/>
      <x:c r="D96" s="2"/>
      <x:c r="E96" s="2"/>
    </x:row>
    <x:row r="97" ht="40" customHeight="1">
      <x:c r="A97" s="12" t="str">
        <x:v>INN family OOP limit</x:v>
      </x:c>
      <x:c r="B97" s="15" t="n">
        <x:v>21200</x:v>
      </x:c>
      <x:c r="C97" s="2"/>
      <x:c r="D97" s="2"/>
      <x:c r="E97" s="2"/>
    </x:row>
    <x:row r="98" ht="40" customHeight="1">
      <x:c r="A98" s="13" t="str">
        <x:v>OON individual OOP limit</x:v>
      </x:c>
      <x:c r="B98" s="14" t="n">
        <x:v>21200</x:v>
      </x:c>
      <x:c r="C98" s="2"/>
      <x:c r="D98" s="2"/>
      <x:c r="E98" s="2"/>
    </x:row>
    <x:row r="99" ht="40" customHeight="1">
      <x:c r="A99" s="12" t="str">
        <x:v>OON family OOP limit</x:v>
      </x:c>
      <x:c r="B99" s="15" t="n">
        <x:v>42400</x:v>
      </x:c>
      <x:c r="C99" s="2"/>
      <x:c r="D99" s="2"/>
      <x:c r="E99" s="2"/>
    </x:row>
    <x:row r="100" ht="112" customHeight="1">
      <x:c r="A100" s="13" t="str">
        <x:v>Gap benefit</x:v>
      </x:c>
      <x:c r="B100" s="13" t="str">
        <x:v>Not applicable</x:v>
      </x:c>
      <x:c r="C100" s="2"/>
      <x:c r="D100" s="2"/>
      <x:c r="E100" s="2"/>
    </x:row>
    <x:row r="101" ht="64" customHeight="1">
      <x:c r="A101" s="12" t="str">
        <x:v>Primary care</x:v>
      </x:c>
      <x:c r="B101" s="12" t="str">
        <x:v>$40</x:v>
      </x:c>
      <x:c r="C101" s="2"/>
      <x:c r="D101" s="2"/>
      <x:c r="E101" s="2"/>
    </x:row>
    <x:row r="102" ht="64" customHeight="1">
      <x:c r="A102" s="13" t="str">
        <x:v>Specialist</x:v>
      </x:c>
      <x:c r="B102" s="13" t="str">
        <x:v>$75</x:v>
      </x:c>
      <x:c r="C102" s="2"/>
      <x:c r="D102" s="2"/>
      <x:c r="E102" s="2"/>
    </x:row>
    <x:row r="103" ht="112" customHeight="1">
      <x:c r="A103" s="12" t="str">
        <x:v>Hospital</x:v>
      </x:c>
      <x:c r="B103" s="12" t="str">
        <x:v>Ded + coins; $250/service associated</x:v>
      </x:c>
      <x:c r="C103" s="2"/>
      <x:c r="D103" s="2"/>
      <x:c r="E103" s="2"/>
    </x:row>
    <x:row r="104" ht="112" customHeight="1">
      <x:c r="A104" s="13" t="str">
        <x:v>Prescription drugs</x:v>
      </x:c>
      <x:c r="B104" s="13" t="str">
        <x:v>$0 / $20 / $65 / $95 / $200 specialty (no $200 cap)</x:v>
      </x:c>
      <x:c r="C104" s="2"/>
      <x:c r="D104" s="2"/>
      <x:c r="E104" s="2"/>
    </x:row>
    <x:row r="105" ht="64" customHeight="1">
      <x:c r="A105" s="12" t="str">
        <x:v>Benefit maximum</x:v>
      </x:c>
      <x:c r="B105" s="12" t="str">
        <x:v>See schedule</x:v>
      </x:c>
      <x:c r="C105" s="2"/>
      <x:c r="D105" s="2"/>
      <x:c r="E105" s="2"/>
    </x:row>
    <x:row r="106" ht="112" customHeight="1">
      <x:c r="A106" s="13" t="str">
        <x:v>Limits and unresolved terms</x:v>
      </x:c>
      <x:c r="B106" s="13" t="str">
        <x:v>Same as 4500 Copay; Chemo infusion $250/visit; dialysis $250; Best Rx coverage of PHCS plans; highest catastrophic exposure ($10,600).</x:v>
      </x:c>
      <x:c r="C106" s="2"/>
      <x:c r="D106" s="2"/>
      <x:c r="E106" s="2"/>
    </x:row>
    <x:row r="107" ht="64" customHeight="1">
      <x:c r="A107" s="12" t="str">
        <x:v>Source and pages</x:v>
      </x:c>
      <x:c r="B107" s="15" t="str">
        <x:v>S49; 1-3</x:v>
      </x:c>
      <x:c r="C107" s="2"/>
      <x:c r="D107" s="2"/>
      <x:c r="E107" s="2"/>
    </x:row>
    <x:row r="108" ht="25" customHeight="1">
      <x:c r="A108" s="2"/>
      <x:c r="B108" s="2"/>
      <x:c r="C108" s="2"/>
      <x:c r="D108" s="2"/>
      <x:c r="E108" s="2"/>
    </x:row>
    <x:row r="109" ht="25" customHeight="1">
      <x:c r="A109" s="2"/>
      <x:c r="B109" s="2"/>
      <x:c r="C109" s="2"/>
      <x:c r="D109" s="2"/>
      <x:c r="E109" s="2"/>
    </x:row>
    <x:row r="110" ht="25" customHeight="1">
      <x:c r="A110" s="2"/>
      <x:c r="B110" s="2"/>
      <x:c r="C110" s="2"/>
      <x:c r="D110" s="2"/>
      <x:c r="E110" s="2"/>
    </x:row>
    <x:row r="111" ht="25" customHeight="1">
      <x:c r="A111" s="2"/>
      <x:c r="B111" s="2"/>
      <x:c r="C111" s="2"/>
      <x:c r="D111" s="2"/>
      <x:c r="E111" s="2"/>
    </x:row>
    <x:row r="112" ht="25" customHeight="1">
      <x:c r="A112" s="2"/>
      <x:c r="B112" s="2"/>
      <x:c r="C112" s="2"/>
      <x:c r="D112" s="2"/>
      <x:c r="E112" s="2"/>
    </x:row>
    <x:row r="113" ht="25" customHeight="1">
      <x:c r="A113" s="2"/>
      <x:c r="B113" s="2"/>
      <x:c r="C113" s="2"/>
      <x:c r="D113" s="2"/>
      <x:c r="E113" s="2"/>
    </x:row>
    <x:row r="114" ht="25" customHeight="1">
      <x:c r="A114" s="2"/>
      <x:c r="B114" s="2"/>
      <x:c r="C114" s="2"/>
      <x:c r="D114" s="2"/>
      <x:c r="E114" s="2"/>
    </x:row>
    <x:row r="115" ht="25" customHeight="1">
      <x:c r="A115" s="2"/>
      <x:c r="B115" s="2"/>
      <x:c r="C115" s="2"/>
      <x:c r="D115" s="2"/>
      <x:c r="E115" s="2"/>
    </x:row>
    <x:row r="116" ht="25" customHeight="1">
      <x:c r="A116" s="2"/>
      <x:c r="B116" s="2"/>
      <x:c r="C116" s="2"/>
      <x:c r="D116" s="2"/>
      <x:c r="E116" s="2"/>
    </x:row>
    <x:row r="117" ht="25" customHeight="1">
      <x:c r="A117" s="2"/>
      <x:c r="B117" s="2"/>
      <x:c r="C117" s="2"/>
      <x:c r="D117" s="2"/>
      <x:c r="E117" s="2"/>
    </x:row>
    <x:row r="118" ht="25" customHeight="1">
      <x:c r="A118" s="2"/>
      <x:c r="B118" s="2"/>
      <x:c r="C118" s="2"/>
      <x:c r="D118" s="2"/>
      <x:c r="E118" s="2"/>
    </x:row>
    <x:row r="119" ht="25" customHeight="1">
      <x:c r="A119" s="2"/>
      <x:c r="B119" s="2"/>
      <x:c r="C119" s="2"/>
      <x:c r="D119" s="2"/>
      <x:c r="E119" s="2"/>
    </x:row>
    <x:row r="120" ht="25" customHeight="1">
      <x:c r="A120" s="2"/>
      <x:c r="B120" s="2"/>
      <x:c r="C120" s="2"/>
      <x:c r="D120" s="2"/>
      <x:c r="E120" s="2"/>
    </x:row>
    <x:row r="121" ht="25" customHeight="1">
      <x:c r="A121" s="2"/>
      <x:c r="B121" s="2"/>
      <x:c r="C121" s="2"/>
      <x:c r="D121" s="2"/>
      <x:c r="E121" s="2"/>
    </x:row>
    <x:row r="122" ht="25" customHeight="1">
      <x:c r="A122" s="2"/>
      <x:c r="B122" s="2"/>
      <x:c r="C122" s="2"/>
      <x:c r="D122" s="2"/>
      <x:c r="E122" s="2"/>
    </x:row>
    <x:row r="123" ht="25" customHeight="1">
      <x:c r="A123" s="2"/>
      <x:c r="B123" s="2"/>
      <x:c r="C123" s="2"/>
      <x:c r="D123" s="2"/>
      <x:c r="E123" s="2"/>
    </x:row>
    <x:row r="124" ht="25" customHeight="1">
      <x:c r="A124" s="2"/>
      <x:c r="B124" s="2"/>
      <x:c r="C124" s="2"/>
      <x:c r="D124" s="2"/>
      <x:c r="E124"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 hidden="0" customWidth="1"/>
    <x:col min="2" max="2" width="42" hidden="0" customWidth="1"/>
    <x:col min="3" max="3" width="42" hidden="0" customWidth="1"/>
    <x:col min="4" max="4" width="42" hidden="0" customWidth="1"/>
    <x:col min="5" max="5" width="42" hidden="0" customWidth="1"/>
  </x:cols>
  <x:sheetData>
    <x:row r="1" ht="25" customHeight="1">
      <x:c r="A1" s="2"/>
      <x:c r="B1" s="2"/>
      <x:c r="C1" s="2"/>
      <x:c r="D1" s="2"/>
      <x:c r="E1" s="2"/>
    </x:row>
    <x:row r="2" ht="30" customHeight="1">
      <x:c r="A2" s="3" t="str">
        <x:v>HSA side by side</x:v>
      </x:c>
      <x:c r="B2" s="2"/>
      <x:c r="C2" s="2"/>
      <x:c r="D2" s="2"/>
      <x:c r="E2" s="2"/>
    </x:row>
    <x:row r="3" ht="25" customHeight="1">
      <x:c r="A3" s="2"/>
      <x:c r="B3" s="2"/>
      <x:c r="C3" s="2"/>
      <x:c r="D3" s="2"/>
      <x:c r="E3" s="2"/>
    </x:row>
    <x:row r="4" ht="25" customHeight="1">
      <x:c r="A4" s="4" t="str">
        <x:v>INN = in network; OON = out of network; OOP = out of pocket. Coinsurance is the MEMBER share.</x:v>
      </x:c>
      <x:c r="B4" s="2"/>
      <x:c r="C4" s="2"/>
      <x:c r="D4" s="2"/>
      <x:c r="E4" s="2"/>
    </x:row>
    <x:row r="5" ht="25" customHeight="1">
      <x:c r="A5" s="4" t="str">
        <x:v>Unknown is not zero. Benefit caps, exclusions and balance bills may leave costs above the stated OOP limit.</x:v>
      </x:c>
      <x:c r="B5" s="2"/>
      <x:c r="C5" s="2"/>
      <x:c r="D5" s="2"/>
      <x:c r="E5" s="2"/>
    </x:row>
    <x:row r="6" ht="25" customHeight="1">
      <x:c r="A6" s="2"/>
      <x:c r="B6" s="2"/>
      <x:c r="C6" s="2"/>
      <x:c r="D6" s="2"/>
      <x:c r="E6" s="2"/>
    </x:row>
    <x:row r="7" ht="25" customHeight="1">
      <x:c r="A7" s="2"/>
      <x:c r="B7" s="2"/>
      <x:c r="C7" s="2"/>
      <x:c r="D7" s="2"/>
      <x:c r="E7" s="2"/>
    </x:row>
    <x:row r="8" ht="45" customHeight="1">
      <x:c r="A8" s="8" t="str">
        <x:v>Measure</x:v>
      </x:c>
      <x:c r="B8" s="8" t="str">
        <x:v>HSA 3500</x:v>
      </x:c>
      <x:c r="C8" s="8" t="str">
        <x:v>MedPerformance 5000 HSA</x:v>
      </x:c>
      <x:c r="D8" s="8" t="str">
        <x:v>HSA 5000</x:v>
      </x:c>
      <x:c r="E8" s="8" t="str">
        <x:v>Ultimate HSA</x:v>
      </x:c>
    </x:row>
    <x:row r="9" ht="40" customHeight="1">
      <x:c r="A9" s="12" t="str">
        <x:v>Entity</x:v>
      </x:c>
      <x:c r="B9" s="12" t="str">
        <x:v>Life-X</x:v>
      </x:c>
      <x:c r="C9" s="12" t="str">
        <x:v>EnrollPrime</x:v>
      </x:c>
      <x:c r="D9" s="12" t="str">
        <x:v>Life-X</x:v>
      </x:c>
      <x:c r="E9" s="12" t="str">
        <x:v>Amerus</x:v>
      </x:c>
    </x:row>
    <x:row r="10" ht="64" customHeight="1">
      <x:c r="A10" s="13" t="str">
        <x:v>Plan structure</x:v>
      </x:c>
      <x:c r="B10" s="13" t="str">
        <x:v>PPO</x:v>
      </x:c>
      <x:c r="C10" s="13" t="str">
        <x:v>PPO</x:v>
      </x:c>
      <x:c r="D10" s="13" t="str">
        <x:v>PPO</x:v>
      </x:c>
      <x:c r="E10" s="13" t="str">
        <x:v>HSA; INN and OON benefits</x:v>
      </x:c>
    </x:row>
    <x:row r="11" ht="64" customHeight="1">
      <x:c r="A11" s="12" t="str">
        <x:v>Network</x:v>
      </x:c>
      <x:c r="B11" s="12" t="str">
        <x:v>PHCS PPO</x:v>
      </x:c>
      <x:c r="C11" s="12" t="str">
        <x:v>Cigna PPO</x:v>
      </x:c>
      <x:c r="D11" s="12" t="str">
        <x:v>PHCS PPO</x:v>
      </x:c>
      <x:c r="E11" s="12" t="str">
        <x:v>Cigna PPO; rate not supplied</x:v>
      </x:c>
    </x:row>
    <x:row r="12" ht="40" customHeight="1">
      <x:c r="A12" s="13" t="str">
        <x:v>INN individual deductible</x:v>
      </x:c>
      <x:c r="B12" s="14" t="n">
        <x:v>3500</x:v>
      </x:c>
      <x:c r="C12" s="14" t="n">
        <x:v>5000</x:v>
      </x:c>
      <x:c r="D12" s="14" t="n">
        <x:v>5000</x:v>
      </x:c>
      <x:c r="E12" s="14" t="n">
        <x:v>6000</x:v>
      </x:c>
    </x:row>
    <x:row r="13" ht="40" customHeight="1">
      <x:c r="A13" s="12" t="str">
        <x:v>INN family deductible</x:v>
      </x:c>
      <x:c r="B13" s="15" t="n">
        <x:v>7000</x:v>
      </x:c>
      <x:c r="C13" s="15" t="n">
        <x:v>10000</x:v>
      </x:c>
      <x:c r="D13" s="15" t="n">
        <x:v>10000</x:v>
      </x:c>
      <x:c r="E13" s="15" t="n">
        <x:v>12000</x:v>
      </x:c>
    </x:row>
    <x:row r="14" ht="40" customHeight="1">
      <x:c r="A14" s="13" t="str">
        <x:v>OON individual deductible</x:v>
      </x:c>
      <x:c r="B14" s="14" t="n">
        <x:v>7000</x:v>
      </x:c>
      <x:c r="C14" s="14" t="n">
        <x:v>10000</x:v>
      </x:c>
      <x:c r="D14" s="14" t="n">
        <x:v>10000</x:v>
      </x:c>
      <x:c r="E14" s="14" t="n">
        <x:v>9000</x:v>
      </x:c>
    </x:row>
    <x:row r="15" ht="40" customHeight="1">
      <x:c r="A15" s="12" t="str">
        <x:v>OON family deductible</x:v>
      </x:c>
      <x:c r="B15" s="15" t="n">
        <x:v>14000</x:v>
      </x:c>
      <x:c r="C15" s="15" t="n">
        <x:v>20000</x:v>
      </x:c>
      <x:c r="D15" s="15" t="n">
        <x:v>20000</x:v>
      </x:c>
      <x:c r="E15" s="15" t="n">
        <x:v>18000</x:v>
      </x:c>
    </x:row>
    <x:row r="16" ht="40" customHeight="1">
      <x:c r="A16" s="13" t="str">
        <x:v>INN member coinsurance</x:v>
      </x:c>
      <x:c r="B16" s="16" t="n">
        <x:v>0.2</x:v>
      </x:c>
      <x:c r="C16" s="16" t="n">
        <x:v>0.2</x:v>
      </x:c>
      <x:c r="D16" s="16" t="n">
        <x:v>0.2</x:v>
      </x:c>
      <x:c r="E16" s="16" t="n">
        <x:v>0.3</x:v>
      </x:c>
    </x:row>
    <x:row r="17" ht="64" customHeight="1">
      <x:c r="A17" s="12" t="str">
        <x:v>OON member coinsurance</x:v>
      </x:c>
      <x:c r="B17" s="17" t="n">
        <x:v>0.3</x:v>
      </x:c>
      <x:c r="C17" s="17" t="n">
        <x:v>0.4</x:v>
      </x:c>
      <x:c r="D17" s="17" t="n">
        <x:v>0.3</x:v>
      </x:c>
      <x:c r="E17" s="17" t="n">
        <x:v>0.5</x:v>
      </x:c>
    </x:row>
    <x:row r="18" ht="40" customHeight="1">
      <x:c r="A18" s="13" t="str">
        <x:v>INN individual OOP limit</x:v>
      </x:c>
      <x:c r="B18" s="14" t="n">
        <x:v>8500</x:v>
      </x:c>
      <x:c r="C18" s="14" t="n">
        <x:v>6550</x:v>
      </x:c>
      <x:c r="D18" s="14" t="n">
        <x:v>8500</x:v>
      </x:c>
      <x:c r="E18" s="14" t="n">
        <x:v>7000</x:v>
      </x:c>
    </x:row>
    <x:row r="19" ht="40" customHeight="1">
      <x:c r="A19" s="12" t="str">
        <x:v>INN family OOP limit</x:v>
      </x:c>
      <x:c r="B19" s="15" t="n">
        <x:v>17000</x:v>
      </x:c>
      <x:c r="C19" s="15" t="n">
        <x:v>13100</x:v>
      </x:c>
      <x:c r="D19" s="15" t="n">
        <x:v>17000</x:v>
      </x:c>
      <x:c r="E19" s="15" t="n">
        <x:v>14000</x:v>
      </x:c>
    </x:row>
    <x:row r="20" ht="40" customHeight="1">
      <x:c r="A20" s="13" t="str">
        <x:v>OON individual OOP limit</x:v>
      </x:c>
      <x:c r="B20" s="14" t="n">
        <x:v>17000</x:v>
      </x:c>
      <x:c r="C20" s="14" t="n">
        <x:v>13100</x:v>
      </x:c>
      <x:c r="D20" s="14" t="n">
        <x:v>17000</x:v>
      </x:c>
      <x:c r="E20" s="14" t="n">
        <x:v>14000</x:v>
      </x:c>
    </x:row>
    <x:row r="21" ht="40" customHeight="1">
      <x:c r="A21" s="12" t="str">
        <x:v>OON family OOP limit</x:v>
      </x:c>
      <x:c r="B21" s="15" t="n">
        <x:v>34000</x:v>
      </x:c>
      <x:c r="C21" s="15" t="n">
        <x:v>26200</x:v>
      </x:c>
      <x:c r="D21" s="15" t="n">
        <x:v>34000</x:v>
      </x:c>
      <x:c r="E21" s="15" t="n">
        <x:v>28000</x:v>
      </x:c>
    </x:row>
    <x:row r="22" ht="112" customHeight="1">
      <x:c r="A22" s="13" t="str">
        <x:v>Gap benefit</x:v>
      </x:c>
      <x:c r="B22" s="13" t="str">
        <x:v>Not applicable</x:v>
      </x:c>
      <x:c r="C22" s="13" t="str">
        <x:v>Not applicable</x:v>
      </x:c>
      <x:c r="D22" s="13" t="str">
        <x:v>Not applicable</x:v>
      </x:c>
      <x:c r="E22" s="13" t="str">
        <x:v>Not applicable</x:v>
      </x:c>
    </x:row>
    <x:row r="23" ht="64" customHeight="1">
      <x:c r="A23" s="12" t="str">
        <x:v>Primary care</x:v>
      </x:c>
      <x:c r="B23" s="12" t="str">
        <x:v>20% after deductible; $40 suggested copay also shown, confirm application</x:v>
      </x:c>
      <x:c r="C23" s="12" t="str">
        <x:v>20% after deductible</x:v>
      </x:c>
      <x:c r="D23" s="12" t="str">
        <x:v>20% after deductible; $40 suggested copay also shown, confirm application</x:v>
      </x:c>
      <x:c r="E23" s="12" t="str">
        <x:v>30% after deductible</x:v>
      </x:c>
    </x:row>
    <x:row r="24" ht="64" customHeight="1">
      <x:c r="A24" s="13" t="str">
        <x:v>Specialist</x:v>
      </x:c>
      <x:c r="B24" s="13" t="str">
        <x:v>20% after deductible; $75 suggested copay also shown, confirm application</x:v>
      </x:c>
      <x:c r="C24" s="13" t="str">
        <x:v>20% after deductible</x:v>
      </x:c>
      <x:c r="D24" s="13" t="str">
        <x:v>20% after deductible; $75 suggested copay also shown, confirm application</x:v>
      </x:c>
      <x:c r="E24" s="13" t="str">
        <x:v>30% after deductible</x:v>
      </x:c>
    </x:row>
    <x:row r="25" ht="112" customHeight="1">
      <x:c r="A25" s="12" t="str">
        <x:v>Hospital</x:v>
      </x:c>
      <x:c r="B25" s="12" t="str">
        <x:v>20% after deductible; skilled nursing and rehabilitation 30 days/year</x:v>
      </x:c>
      <x:c r="C25" s="12" t="str">
        <x:v>20% after deductible</x:v>
      </x:c>
      <x:c r="D25" s="12" t="str">
        <x:v>20% after deductible; skilled nursing and rehabilitation 30 days/year</x:v>
      </x:c>
      <x:c r="E25" s="12" t="str">
        <x:v>30% after deductible</x:v>
      </x:c>
    </x:row>
    <x:row r="26" ht="112" customHeight="1">
      <x:c r="A26" s="13" t="str">
        <x:v>Prescription drugs</x:v>
      </x:c>
      <x:c r="B26" s="13" t="str">
        <x:v>$10 generic / $90 preferred / $110 nonpreferred; specialty assistance, not a guaranteed insured specialty benefit; nonpreventive copays apply after deductible</x:v>
      </x:c>
      <x:c r="C26" s="13" t="str">
        <x:v>$15 generic / $65 preferred / $100 nonpreferred; specialty 50%; after deductible</x:v>
      </x:c>
      <x:c r="D26" s="13" t="str">
        <x:v>$10 generic / $90 preferred / $110 nonpreferred; specialty assistance, not a guaranteed insured specialty benefit; nonpreventive copays apply after deductible</x:v>
      </x:c>
      <x:c r="E26" s="13" t="str">
        <x:v>After deductible: generic 0%; preferred 25%; nonpreferred 45%; specialty 30% with advocacy conditions</x:v>
      </x:c>
    </x:row>
    <x:row r="27" ht="64" customHeight="1">
      <x:c r="A27" s="12" t="str">
        <x:v>Benefit maximum</x:v>
      </x:c>
      <x:c r="B27" s="12" t="str">
        <x:v>Unlimited annual benefit; service limits still apply</x:v>
      </x:c>
      <x:c r="C27" s="12" t="str">
        <x:v>No lifetime maximum</x:v>
      </x:c>
      <x:c r="D27" s="12" t="str">
        <x:v>Unlimited annual benefit; service limits still apply</x:v>
      </x:c>
      <x:c r="E27" s="12" t="str">
        <x:v>Not stated</x:v>
      </x:c>
    </x:row>
    <x:row r="28" ht="112" customHeight="1">
      <x:c r="A28" s="13" t="str">
        <x:v>Limits and unresolved terms</x:v>
      </x:c>
      <x:c r="B28" s="13" t="str">
        <x:v>Elective surgery excluded first 90 days. Preauthorization required. Summary excludes organ transplants, while service table lists INN transplant at 20%: unresolved conflict. Acute temporary dialysis is listed despite general dialysis exclusion. Substance abuse listed as excluded.</x:v>
      </x:c>
      <x:c r="C28" s="13" t="str">
        <x:v>ERISA-sponsored per brochure; eligibility must be confirmed. Nonemergency foreign care and gene therapy excluded. Allowable-charge limits apply. Updated SBC S65 lists 40% routine OON coinsurance; brochure listed 50%.</x:v>
      </x:c>
      <x:c r="D28" s="13" t="str">
        <x:v>Elective surgery excluded first 90 days. Preauthorization required. Summary excludes organ transplants, while service table lists INN transplant at 20%: unresolved conflict. Acute temporary dialysis is listed despite general dialysis exclusion. In-person mental health excluded (except telemedicine).</x:v>
      </x:c>
      <x:c r="E28" s="13" t="str">
        <x:v>No premium sheet supplied. SBC period January 1-December 31, 2026. Cigna named; exact directory selection requires administrator confirmation. Outlook limitations sheet lists service visit caps and extensive precertification; failure may result in no coverage. See Outlook O3.</x:v>
      </x:c>
    </x:row>
    <x:row r="29" ht="64" customHeight="1">
      <x:c r="A29" s="12" t="str">
        <x:v>Source and pages</x:v>
      </x:c>
      <x:c r="B29" s="15" t="str">
        <x:v>S18; 2-5</x:v>
      </x:c>
      <x:c r="C29" s="15" t="str">
        <x:v>S65; 1-5</x:v>
      </x:c>
      <x:c r="D29" s="15" t="str">
        <x:v>S22; 2-5</x:v>
      </x:c>
      <x:c r="E29" s="15" t="str">
        <x:v>S07; SBC 1-4 (image pages)</x:v>
      </x:c>
    </x:row>
    <x:row r="30" ht="25" customHeight="1">
      <x:c r="A30" s="2"/>
      <x:c r="B30" s="2"/>
      <x:c r="C30" s="2"/>
      <x:c r="D30" s="2"/>
      <x:c r="E30" s="2"/>
    </x:row>
    <x:row r="31" ht="25" customHeight="1">
      <x:c r="A31" s="2"/>
      <x:c r="B31" s="2"/>
      <x:c r="C31" s="2"/>
      <x:c r="D31" s="2"/>
      <x:c r="E31" s="2"/>
    </x:row>
    <x:row r="32" ht="25" customHeight="1">
      <x:c r="A32" s="2"/>
      <x:c r="B32" s="2"/>
      <x:c r="C32" s="2"/>
      <x:c r="D32" s="2"/>
      <x:c r="E32" s="2"/>
    </x:row>
    <x:row r="33" ht="25" customHeight="1">
      <x:c r="A33" s="2"/>
      <x:c r="B33" s="2"/>
      <x:c r="C33" s="2"/>
      <x:c r="D33" s="2"/>
      <x:c r="E33" s="2"/>
    </x:row>
    <x:row r="34" ht="45" customHeight="1">
      <x:c r="A34" s="8" t="str">
        <x:v>Measure</x:v>
      </x:c>
      <x:c r="B34" s="8" t="str">
        <x:v>HSA 8300</x:v>
      </x:c>
      <x:c r="C34" s="8" t="str">
        <x:v>AFI 8300 HSA</x:v>
      </x:c>
      <x:c r="D34" s="8" t="str">
        <x:v>AFI 3500 HSA</x:v>
      </x:c>
      <x:c r="E34" s="2"/>
    </x:row>
    <x:row r="35" ht="40" customHeight="1">
      <x:c r="A35" s="12" t="str">
        <x:v>Entity</x:v>
      </x:c>
      <x:c r="B35" s="12" t="str">
        <x:v>Life-X</x:v>
      </x:c>
      <x:c r="C35" s="12" t="str">
        <x:v>AFI / Enroll Prime</x:v>
      </x:c>
      <x:c r="D35" s="12" t="str">
        <x:v>AFI / Enroll Prime</x:v>
      </x:c>
      <x:c r="E35" s="2"/>
    </x:row>
    <x:row r="36" ht="64" customHeight="1">
      <x:c r="A36" s="13" t="str">
        <x:v>Plan structure</x:v>
      </x:c>
      <x:c r="B36" s="13" t="str">
        <x:v>PPO</x:v>
      </x:c>
      <x:c r="C36" s="13" t="str">
        <x:v>PPO</x:v>
      </x:c>
      <x:c r="D36" s="13" t="str">
        <x:v>PPO</x:v>
      </x:c>
      <x:c r="E36" s="2"/>
    </x:row>
    <x:row r="37" ht="64" customHeight="1">
      <x:c r="A37" s="12" t="str">
        <x:v>Network</x:v>
      </x:c>
      <x:c r="B37" s="12" t="str">
        <x:v>PHCS PPO</x:v>
      </x:c>
      <x:c r="C37" s="12" t="str">
        <x:v>PHCS Extended PPO per provider lookup guide; exact plan access unverified</x:v>
      </x:c>
      <x:c r="D37" s="12" t="str">
        <x:v>PHCS Extended PPO per provider lookup guide; exact plan access unverified</x:v>
      </x:c>
      <x:c r="E37" s="2"/>
    </x:row>
    <x:row r="38" ht="40" customHeight="1">
      <x:c r="A38" s="13" t="str">
        <x:v>INN individual deductible</x:v>
      </x:c>
      <x:c r="B38" s="14" t="n">
        <x:v>8300</x:v>
      </x:c>
      <x:c r="C38" s="14" t="n">
        <x:v>8300</x:v>
      </x:c>
      <x:c r="D38" s="14" t="n">
        <x:v>3500</x:v>
      </x:c>
      <x:c r="E38" s="2"/>
    </x:row>
    <x:row r="39" ht="40" customHeight="1">
      <x:c r="A39" s="12" t="str">
        <x:v>INN family deductible</x:v>
      </x:c>
      <x:c r="B39" s="15" t="n">
        <x:v>16600</x:v>
      </x:c>
      <x:c r="C39" s="15" t="n">
        <x:v>16600</x:v>
      </x:c>
      <x:c r="D39" s="15" t="n">
        <x:v>7000</x:v>
      </x:c>
      <x:c r="E39" s="2"/>
    </x:row>
    <x:row r="40" ht="40" customHeight="1">
      <x:c r="A40" s="13" t="str">
        <x:v>OON individual deductible</x:v>
      </x:c>
      <x:c r="B40" s="14" t="n">
        <x:v>16600</x:v>
      </x:c>
      <x:c r="C40" s="14" t="n">
        <x:v>16600</x:v>
      </x:c>
      <x:c r="D40" s="14" t="n">
        <x:v>7000</x:v>
      </x:c>
      <x:c r="E40" s="2"/>
    </x:row>
    <x:row r="41" ht="40" customHeight="1">
      <x:c r="A41" s="12" t="str">
        <x:v>OON family deductible</x:v>
      </x:c>
      <x:c r="B41" s="15" t="n">
        <x:v>33200</x:v>
      </x:c>
      <x:c r="C41" s="15" t="n">
        <x:v>33200</x:v>
      </x:c>
      <x:c r="D41" s="15" t="n">
        <x:v>14000</x:v>
      </x:c>
      <x:c r="E41" s="2"/>
    </x:row>
    <x:row r="42" ht="40" customHeight="1">
      <x:c r="A42" s="13" t="str">
        <x:v>INN member coinsurance</x:v>
      </x:c>
      <x:c r="B42" s="16" t="n">
        <x:v>0.2</x:v>
      </x:c>
      <x:c r="C42" s="16" t="n">
        <x:v>0</x:v>
      </x:c>
      <x:c r="D42" s="16" t="n">
        <x:v>0.3</x:v>
      </x:c>
      <x:c r="E42" s="2"/>
    </x:row>
    <x:row r="43" ht="64" customHeight="1">
      <x:c r="A43" s="12" t="str">
        <x:v>OON member coinsurance</x:v>
      </x:c>
      <x:c r="B43" s="17" t="n">
        <x:v>0.3</x:v>
      </x:c>
      <x:c r="C43" s="12" t="str">
        <x:v>50% after OON deductible</x:v>
      </x:c>
      <x:c r="D43" s="12" t="str">
        <x:v>50% after OON deductible</x:v>
      </x:c>
      <x:c r="E43" s="2"/>
    </x:row>
    <x:row r="44" ht="40" customHeight="1">
      <x:c r="A44" s="13" t="str">
        <x:v>INN individual OOP limit</x:v>
      </x:c>
      <x:c r="B44" s="14" t="n">
        <x:v>8500</x:v>
      </x:c>
      <x:c r="C44" s="14" t="n">
        <x:v>8500</x:v>
      </x:c>
      <x:c r="D44" s="14" t="n">
        <x:v>8500</x:v>
      </x:c>
      <x:c r="E44" s="2"/>
    </x:row>
    <x:row r="45" ht="40" customHeight="1">
      <x:c r="A45" s="12" t="str">
        <x:v>INN family OOP limit</x:v>
      </x:c>
      <x:c r="B45" s="15" t="n">
        <x:v>17000</x:v>
      </x:c>
      <x:c r="C45" s="15" t="n">
        <x:v>17000</x:v>
      </x:c>
      <x:c r="D45" s="15" t="n">
        <x:v>17000</x:v>
      </x:c>
      <x:c r="E45" s="2"/>
    </x:row>
    <x:row r="46" ht="40" customHeight="1">
      <x:c r="A46" s="13" t="str">
        <x:v>OON individual OOP limit</x:v>
      </x:c>
      <x:c r="B46" s="14" t="n">
        <x:v>17000</x:v>
      </x:c>
      <x:c r="C46" s="14" t="n">
        <x:v>17000</x:v>
      </x:c>
      <x:c r="D46" s="14" t="n">
        <x:v>17000</x:v>
      </x:c>
      <x:c r="E46" s="2"/>
    </x:row>
    <x:row r="47" ht="40" customHeight="1">
      <x:c r="A47" s="12" t="str">
        <x:v>OON family OOP limit</x:v>
      </x:c>
      <x:c r="B47" s="15" t="n">
        <x:v>34000</x:v>
      </x:c>
      <x:c r="C47" s="15" t="n">
        <x:v>34000</x:v>
      </x:c>
      <x:c r="D47" s="15" t="n">
        <x:v>34000</x:v>
      </x:c>
      <x:c r="E47" s="2"/>
    </x:row>
    <x:row r="48" ht="112" customHeight="1">
      <x:c r="A48" s="13" t="str">
        <x:v>Gap benefit</x:v>
      </x:c>
      <x:c r="B48" s="13" t="str">
        <x:v>Not applicable</x:v>
      </x:c>
      <x:c r="C48" s="13" t="str">
        <x:v>Not applicable</x:v>
      </x:c>
      <x:c r="D48" s="13" t="str">
        <x:v>Not applicable</x:v>
      </x:c>
      <x:c r="E48" s="2"/>
    </x:row>
    <x:row r="49" ht="64" customHeight="1">
      <x:c r="A49" s="12" t="str">
        <x:v>Primary care</x:v>
      </x:c>
      <x:c r="B49" s="12" t="str">
        <x:v>20% after deductible; $40 suggested copay also shown, confirm application</x:v>
      </x:c>
      <x:c r="C49" s="12" t="str">
        <x:v>Deductible</x:v>
      </x:c>
      <x:c r="D49" s="12" t="str">
        <x:v>Ded + coins</x:v>
      </x:c>
      <x:c r="E49" s="2"/>
    </x:row>
    <x:row r="50" ht="64" customHeight="1">
      <x:c r="A50" s="13" t="str">
        <x:v>Specialist</x:v>
      </x:c>
      <x:c r="B50" s="13" t="str">
        <x:v>20% after deductible; $75 suggested copay also shown, confirm application</x:v>
      </x:c>
      <x:c r="C50" s="13" t="str">
        <x:v>Deductible</x:v>
      </x:c>
      <x:c r="D50" s="13" t="str">
        <x:v>Ded + coins</x:v>
      </x:c>
      <x:c r="E50" s="2"/>
    </x:row>
    <x:row r="51" ht="112" customHeight="1">
      <x:c r="A51" s="12" t="str">
        <x:v>Hospital</x:v>
      </x:c>
      <x:c r="B51" s="12" t="str">
        <x:v>20% after deductible; skilled nursing and rehabilitation 30 days/year</x:v>
      </x:c>
      <x:c r="C51" s="12" t="str">
        <x:v>Deductible, prior auth</x:v>
      </x:c>
      <x:c r="D51" s="12" t="str">
        <x:v>Ded + coins, prior auth</x:v>
      </x:c>
      <x:c r="E51" s="2"/>
    </x:row>
    <x:row r="52" ht="112" customHeight="1">
      <x:c r="A52" s="13" t="str">
        <x:v>Prescription drugs</x:v>
      </x:c>
      <x:c r="B52" s="13" t="str">
        <x:v>$10 generic / $90 preferred / $110 nonpreferred; specialty assistance, not a guaranteed insured specialty benefit; nonpreventive copays apply after deductible</x:v>
      </x:c>
      <x:c r="C52" s="13" t="str">
        <x:v>$0 chronic-condition generics if under $200; all other drugs deductible; ANY drug over $200/mo NOT COVERED and not toward OOP</x:v>
      </x:c>
      <x:c r="D52" s="13" t="str">
        <x:v>Same as 8300: drugs over $200/mo NOT COVERED</x:v>
      </x:c>
      <x:c r="E52" s="2"/>
    </x:row>
    <x:row r="53" ht="64" customHeight="1">
      <x:c r="A53" s="12" t="str">
        <x:v>Benefit maximum</x:v>
      </x:c>
      <x:c r="B53" s="12" t="str">
        <x:v>Unlimited annual benefit; service limits still apply</x:v>
      </x:c>
      <x:c r="C53" s="12" t="str">
        <x:v>See schedule</x:v>
      </x:c>
      <x:c r="D53" s="12" t="str">
        <x:v>See schedule</x:v>
      </x:c>
      <x:c r="E53" s="2"/>
    </x:row>
    <x:row r="54" ht="112" customHeight="1">
      <x:c r="A54" s="13" t="str">
        <x:v>Limits and unresolved terms</x:v>
      </x:c>
      <x:c r="B54" s="13" t="str">
        <x:v>Elective surgery excluded first 90 days. Preauthorization required. Summary excludes organ transplants, while service table lists INN transplant at 20%: unresolved conflict. Acute temporary dialysis is listed despite general dialysis exclusion. In-person mental health excluded (except telemedicine).</x:v>
      </x:c>
      <x:c r="C54" s="13" t="str">
        <x:v>Chiro 30; SNF/inpatient rehab 14 days; home health 30; hospice 60 days lifetime; PHP/IOP 30 days; detox 5 days; 1 prosthetic/yr; nutrition 1 visit; Covered; chemo infusion only, oral chemo via Rx (subject to $200 cap); OOP matches 2026 IRS HSA self-only max. Missed prior auth = 50% reduction or denial. App requires written confirmation of $200 Rx cap.</x:v>
      </x:c>
      <x:c r="D54" s="13" t="str">
        <x:v>Same limits as 8300; Covered; infusion only; $100/mo more than 8300 for same OOP max; wins only in ~$5.2k to ~$16.2k claim years.</x:v>
      </x:c>
      <x:c r="E54" s="2"/>
    </x:row>
    <x:row r="55" ht="64" customHeight="1">
      <x:c r="A55" s="12" t="str">
        <x:v>Source and pages</x:v>
      </x:c>
      <x:c r="B55" s="15" t="str">
        <x:v>S29; 2-5</x:v>
      </x:c>
      <x:c r="C55" s="15" t="str">
        <x:v>S46; 1-3</x:v>
      </x:c>
      <x:c r="D55" s="15" t="str">
        <x:v>S47; 1-3</x:v>
      </x:c>
      <x:c r="E55" s="2"/>
    </x:row>
    <x:row r="56" ht="25" customHeight="1">
      <x:c r="A56" s="2"/>
      <x:c r="B56" s="2"/>
      <x:c r="C56" s="2"/>
      <x:c r="D56" s="2"/>
      <x:c r="E56" s="2"/>
    </x:row>
    <x:row r="57" ht="25" customHeight="1">
      <x:c r="A57" s="2"/>
      <x:c r="B57" s="2"/>
      <x:c r="C57" s="2"/>
      <x:c r="D57" s="2"/>
      <x:c r="E57" s="2"/>
    </x:row>
    <x:row r="58" ht="25" customHeight="1">
      <x:c r="A58" s="2"/>
      <x:c r="B58" s="2"/>
      <x:c r="C58" s="2"/>
      <x:c r="D58" s="2"/>
      <x:c r="E58" s="2"/>
    </x:row>
    <x:row r="59" ht="25" customHeight="1">
      <x:c r="A59" s="2"/>
      <x:c r="B59" s="2"/>
      <x:c r="C59" s="2"/>
      <x:c r="D59" s="2"/>
      <x:c r="E59" s="2"/>
    </x:row>
    <x:row r="60" ht="25" customHeight="1">
      <x:c r="A60" s="2"/>
      <x:c r="B60" s="2"/>
      <x:c r="C60" s="2"/>
      <x:c r="D60" s="2"/>
      <x:c r="E60" s="2"/>
    </x:row>
    <x:row r="61" ht="25" customHeight="1">
      <x:c r="A61" s="2"/>
      <x:c r="B61" s="2"/>
      <x:c r="C61" s="2"/>
      <x:c r="D61" s="2"/>
      <x:c r="E61" s="2"/>
    </x:row>
    <x:row r="62" ht="25" customHeight="1">
      <x:c r="A62" s="2"/>
      <x:c r="B62" s="2"/>
      <x:c r="C62" s="2"/>
      <x:c r="D62" s="2"/>
      <x:c r="E62" s="2"/>
    </x:row>
    <x:row r="63" ht="25" customHeight="1">
      <x:c r="A63" s="2"/>
      <x:c r="B63" s="2"/>
      <x:c r="C63" s="2"/>
      <x:c r="D63" s="2"/>
      <x:c r="E63" s="2"/>
    </x:row>
    <x:row r="64" ht="25" customHeight="1">
      <x:c r="A64" s="2"/>
      <x:c r="B64" s="2"/>
      <x:c r="C64" s="2"/>
      <x:c r="D64" s="2"/>
      <x:c r="E64" s="2"/>
    </x:row>
    <x:row r="65" ht="25" customHeight="1">
      <x:c r="A65" s="2"/>
      <x:c r="B65" s="2"/>
      <x:c r="C65" s="2"/>
      <x:c r="D65" s="2"/>
      <x:c r="E65" s="2"/>
    </x:row>
    <x:row r="66" ht="25" customHeight="1">
      <x:c r="A66" s="2"/>
      <x:c r="B66" s="2"/>
      <x:c r="C66" s="2"/>
      <x:c r="D66" s="2"/>
      <x:c r="E66" s="2"/>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 hidden="0" customWidth="1"/>
    <x:col min="2" max="2" width="42" hidden="0" customWidth="1"/>
    <x:col min="3" max="3" width="42" hidden="0" customWidth="1"/>
    <x:col min="4" max="4" width="42" hidden="0" customWidth="1"/>
    <x:col min="5" max="5" width="42" hidden="0" customWidth="1"/>
  </x:cols>
  <x:sheetData>
    <x:row r="1" ht="25" customHeight="1">
      <x:c r="A1" s="2"/>
      <x:c r="B1" s="2"/>
      <x:c r="C1" s="2"/>
      <x:c r="D1" s="2"/>
      <x:c r="E1" s="2"/>
    </x:row>
    <x:row r="2" ht="30" customHeight="1">
      <x:c r="A2" s="3" t="str">
        <x:v>Limited copay side by side</x:v>
      </x:c>
      <x:c r="B2" s="2"/>
      <x:c r="C2" s="2"/>
      <x:c r="D2" s="2"/>
      <x:c r="E2" s="2"/>
    </x:row>
    <x:row r="3" ht="25" customHeight="1">
      <x:c r="A3" s="2"/>
      <x:c r="B3" s="2"/>
      <x:c r="C3" s="2"/>
      <x:c r="D3" s="2"/>
      <x:c r="E3" s="2"/>
    </x:row>
    <x:row r="4" ht="25" customHeight="1">
      <x:c r="A4" s="4" t="str">
        <x:v>INN = in network; OON = out of network; OOP = out of pocket. Coinsurance is the MEMBER share.</x:v>
      </x:c>
      <x:c r="B4" s="2"/>
      <x:c r="C4" s="2"/>
      <x:c r="D4" s="2"/>
      <x:c r="E4" s="2"/>
    </x:row>
    <x:row r="5" ht="25" customHeight="1">
      <x:c r="A5" s="4" t="str">
        <x:v>Unknown is not zero. Benefit caps, exclusions and balance bills may leave costs above the stated OOP limit.</x:v>
      </x:c>
      <x:c r="B5" s="2"/>
      <x:c r="C5" s="2"/>
      <x:c r="D5" s="2"/>
      <x:c r="E5" s="2"/>
    </x:row>
    <x:row r="6" ht="25" customHeight="1">
      <x:c r="A6" s="2"/>
      <x:c r="B6" s="2"/>
      <x:c r="C6" s="2"/>
      <x:c r="D6" s="2"/>
      <x:c r="E6" s="2"/>
    </x:row>
    <x:row r="7" ht="25" customHeight="1">
      <x:c r="A7" s="2"/>
      <x:c r="B7" s="2"/>
      <x:c r="C7" s="2"/>
      <x:c r="D7" s="2"/>
      <x:c r="E7" s="2"/>
    </x:row>
    <x:row r="8" ht="45" customHeight="1">
      <x:c r="A8" s="8" t="str">
        <x:v>Measure</x:v>
      </x:c>
      <x:c r="B8" s="8" t="str">
        <x:v>MedAccess MVP Basic</x:v>
      </x:c>
      <x:c r="C8" s="8" t="str">
        <x:v>MedAccess MVP Pro</x:v>
      </x:c>
      <x:c r="D8" s="8" t="str">
        <x:v>MedMax 250</x:v>
      </x:c>
      <x:c r="E8" s="8" t="str">
        <x:v>MedMax 500</x:v>
      </x:c>
    </x:row>
    <x:row r="9" ht="40" customHeight="1">
      <x:c r="A9" s="12" t="str">
        <x:v>Entity</x:v>
      </x:c>
      <x:c r="B9" s="12" t="str">
        <x:v>EnrollPrime</x:v>
      </x:c>
      <x:c r="C9" s="12" t="str">
        <x:v>EnrollPrime</x:v>
      </x:c>
      <x:c r="D9" s="12" t="str">
        <x:v>EnrollPrime</x:v>
      </x:c>
      <x:c r="E9" s="12" t="str">
        <x:v>EnrollPrime</x:v>
      </x:c>
    </x:row>
    <x:row r="10" ht="64" customHeight="1">
      <x:c r="A10" s="13" t="str">
        <x:v>Plan structure</x:v>
      </x:c>
      <x:c r="B10" s="13" t="str">
        <x:v>First Health network; EPO/PPO design unconfirmed</x:v>
      </x:c>
      <x:c r="C10" s="13" t="str">
        <x:v>First Health network; EPO/PPO design unconfirmed</x:v>
      </x:c>
      <x:c r="D10" s="13" t="str">
        <x:v>PPO network; OON unverified</x:v>
      </x:c>
      <x:c r="E10" s="13" t="str">
        <x:v>PPO network; OON unverified</x:v>
      </x:c>
    </x:row>
    <x:row r="11" ht="64" customHeight="1">
      <x:c r="A11" s="12" t="str">
        <x:v>Network</x:v>
      </x:c>
      <x:c r="B11" s="12" t="str">
        <x:v>First Health</x:v>
      </x:c>
      <x:c r="C11" s="12" t="str">
        <x:v>First Health</x:v>
      </x:c>
      <x:c r="D11" s="12" t="str">
        <x:v>First Health PPO</x:v>
      </x:c>
      <x:c r="E11" s="12" t="str">
        <x:v>First Health PPO</x:v>
      </x:c>
    </x:row>
    <x:row r="12" ht="40" customHeight="1">
      <x:c r="A12" s="13" t="str">
        <x:v>INN individual deductible</x:v>
      </x:c>
      <x:c r="B12" s="14" t="n">
        <x:v>0</x:v>
      </x:c>
      <x:c r="C12" s="14" t="n">
        <x:v>0</x:v>
      </x:c>
      <x:c r="D12" s="14" t="n">
        <x:v>250</x:v>
      </x:c>
      <x:c r="E12" s="14" t="n">
        <x:v>500</x:v>
      </x:c>
    </x:row>
    <x:row r="13" ht="40" customHeight="1">
      <x:c r="A13" s="12" t="str">
        <x:v>INN family deductible</x:v>
      </x:c>
      <x:c r="B13" s="15" t="n">
        <x:v>0</x:v>
      </x:c>
      <x:c r="C13" s="15" t="n">
        <x:v>0</x:v>
      </x:c>
      <x:c r="D13" s="15" t="n">
        <x:v>500</x:v>
      </x:c>
      <x:c r="E13" s="15" t="n">
        <x:v>1000</x:v>
      </x:c>
    </x:row>
    <x:row r="14" ht="40" customHeight="1">
      <x:c r="A14" s="13" t="str">
        <x:v>OON individual deductible</x:v>
      </x:c>
      <x:c r="B14" s="13" t="str">
        <x:v>Not stated</x:v>
      </x:c>
      <x:c r="C14" s="13" t="str">
        <x:v>Not stated</x:v>
      </x:c>
      <x:c r="D14" s="13" t="str">
        <x:v>Not stated</x:v>
      </x:c>
      <x:c r="E14" s="13" t="str">
        <x:v>Not stated</x:v>
      </x:c>
    </x:row>
    <x:row r="15" ht="40" customHeight="1">
      <x:c r="A15" s="12" t="str">
        <x:v>OON family deductible</x:v>
      </x:c>
      <x:c r="B15" s="12" t="str">
        <x:v>Not stated</x:v>
      </x:c>
      <x:c r="C15" s="12" t="str">
        <x:v>Not stated</x:v>
      </x:c>
      <x:c r="D15" s="12" t="str">
        <x:v>Not stated</x:v>
      </x:c>
      <x:c r="E15" s="12" t="str">
        <x:v>Not stated</x:v>
      </x:c>
    </x:row>
    <x:row r="16" ht="40" customHeight="1">
      <x:c r="A16" s="13" t="str">
        <x:v>INN member coinsurance</x:v>
      </x:c>
      <x:c r="B16" s="13" t="str">
        <x:v>Copay schedule</x:v>
      </x:c>
      <x:c r="C16" s="13" t="str">
        <x:v>Copay schedule</x:v>
      </x:c>
      <x:c r="D16" s="13" t="str">
        <x:v>Copay schedule</x:v>
      </x:c>
      <x:c r="E16" s="13" t="str">
        <x:v>Copay schedule</x:v>
      </x:c>
    </x:row>
    <x:row r="17" ht="64" customHeight="1">
      <x:c r="A17" s="12" t="str">
        <x:v>OON member coinsurance</x:v>
      </x:c>
      <x:c r="B17" s="12" t="str">
        <x:v>No OON schedule supplied</x:v>
      </x:c>
      <x:c r="C17" s="12" t="str">
        <x:v>No OON schedule supplied</x:v>
      </x:c>
      <x:c r="D17" s="12" t="str">
        <x:v>No OON schedule supplied</x:v>
      </x:c>
      <x:c r="E17" s="12" t="str">
        <x:v>No OON schedule supplied</x:v>
      </x:c>
    </x:row>
    <x:row r="18" ht="40" customHeight="1">
      <x:c r="A18" s="13" t="str">
        <x:v>INN individual OOP limit</x:v>
      </x:c>
      <x:c r="B18" s="14" t="n">
        <x:v>7350</x:v>
      </x:c>
      <x:c r="C18" s="14" t="n">
        <x:v>5000</x:v>
      </x:c>
      <x:c r="D18" s="14" t="n">
        <x:v>9200</x:v>
      </x:c>
      <x:c r="E18" s="14" t="n">
        <x:v>9200</x:v>
      </x:c>
    </x:row>
    <x:row r="19" ht="40" customHeight="1">
      <x:c r="A19" s="12" t="str">
        <x:v>INN family OOP limit</x:v>
      </x:c>
      <x:c r="B19" s="15" t="n">
        <x:v>14700</x:v>
      </x:c>
      <x:c r="C19" s="15" t="n">
        <x:v>10000</x:v>
      </x:c>
      <x:c r="D19" s="15" t="n">
        <x:v>18400</x:v>
      </x:c>
      <x:c r="E19" s="15" t="n">
        <x:v>18400</x:v>
      </x:c>
    </x:row>
    <x:row r="20" ht="40" customHeight="1">
      <x:c r="A20" s="13" t="str">
        <x:v>OON individual OOP limit</x:v>
      </x:c>
      <x:c r="B20" s="13" t="str">
        <x:v>Not stated</x:v>
      </x:c>
      <x:c r="C20" s="13" t="str">
        <x:v>Not stated</x:v>
      </x:c>
      <x:c r="D20" s="13" t="str">
        <x:v>Not stated</x:v>
      </x:c>
      <x:c r="E20" s="13" t="str">
        <x:v>Not stated</x:v>
      </x:c>
    </x:row>
    <x:row r="21" ht="40" customHeight="1">
      <x:c r="A21" s="12" t="str">
        <x:v>OON family OOP limit</x:v>
      </x:c>
      <x:c r="B21" s="12" t="str">
        <x:v>Not stated</x:v>
      </x:c>
      <x:c r="C21" s="12" t="str">
        <x:v>Not stated</x:v>
      </x:c>
      <x:c r="D21" s="12" t="str">
        <x:v>Not stated</x:v>
      </x:c>
      <x:c r="E21" s="12" t="str">
        <x:v>Not stated</x:v>
      </x:c>
    </x:row>
    <x:row r="22" ht="112" customHeight="1">
      <x:c r="A22" s="13" t="str">
        <x:v>Gap benefit</x:v>
      </x:c>
      <x:c r="B22" s="13" t="str">
        <x:v>Not applicable</x:v>
      </x:c>
      <x:c r="C22" s="13" t="str">
        <x:v>Not applicable</x:v>
      </x:c>
      <x:c r="D22" s="13" t="str">
        <x:v>Not applicable</x:v>
      </x:c>
      <x:c r="E22" s="13" t="str">
        <x:v>Not applicable</x:v>
      </x:c>
    </x:row>
    <x:row r="23" ht="64" customHeight="1">
      <x:c r="A23" s="12" t="str">
        <x:v>Primary care</x:v>
      </x:c>
      <x:c r="B23" s="12" t="str">
        <x:v>$25; 6 visits/year</x:v>
      </x:c>
      <x:c r="C23" s="12" t="str">
        <x:v>$15; 12 visits/year</x:v>
      </x:c>
      <x:c r="D23" s="12" t="str">
        <x:v>$50 after deductible</x:v>
      </x:c>
      <x:c r="E23" s="12" t="str">
        <x:v>$50 after deductible</x:v>
      </x:c>
    </x:row>
    <x:row r="24" ht="64" customHeight="1">
      <x:c r="A24" s="13" t="str">
        <x:v>Specialist</x:v>
      </x:c>
      <x:c r="B24" s="13" t="str">
        <x:v>$50; 6 visits/year</x:v>
      </x:c>
      <x:c r="C24" s="13" t="str">
        <x:v>$25; 12 visits/year</x:v>
      </x:c>
      <x:c r="D24" s="13" t="str">
        <x:v>$50 after deductible</x:v>
      </x:c>
      <x:c r="E24" s="13" t="str">
        <x:v>$50 after deductible</x:v>
      </x:c>
    </x:row>
    <x:row r="25" ht="112" customHeight="1">
      <x:c r="A25" s="12" t="str">
        <x:v>Hospital</x:v>
      </x:c>
      <x:c r="B25" s="12" t="str">
        <x:v>$350/admission; 3 days/year</x:v>
      </x:c>
      <x:c r="C25" s="12" t="str">
        <x:v>$350/admission; 10 days/year</x:v>
      </x:c>
      <x:c r="D25" s="12" t="str">
        <x:v>$1,000 copay after deductible; 2 stays/year, 10 days/stay</x:v>
      </x:c>
      <x:c r="E25" s="12" t="str">
        <x:v>$1,000 copay after deductible; 2 stays/year, 10 days/stay</x:v>
      </x:c>
    </x:row>
    <x:row r="26" ht="112" customHeight="1">
      <x:c r="A26" s="13" t="str">
        <x:v>Prescription drugs</x:v>
      </x:c>
      <x:c r="B26" s="13" t="str">
        <x:v>Basic: nonpreventive generic $10; brands and specialty not covered</x:v>
      </x:c>
      <x:c r="C26" s="13" t="str">
        <x:v>Pro table: generic/preferred 20%; footnote excludes brand except base contraceptive benefit. Conflict requires confirmation.</x:v>
      </x:c>
      <x:c r="D26" s="13" t="str">
        <x:v>Preventive generics before deductible; standard generics $0 after deductible. Assistance program is not a guaranteed drug benefit.</x:v>
      </x:c>
      <x:c r="E26" s="13" t="str">
        <x:v>Preventive generics before deductible; standard generics $0 after deductible. Assistance program is not a guaranteed drug benefit.</x:v>
      </x:c>
    </x:row>
    <x:row r="27" ht="64" customHeight="1">
      <x:c r="A27" s="12" t="str">
        <x:v>Benefit maximum</x:v>
      </x:c>
      <x:c r="B27" s="12" t="str">
        <x:v>Service-specific limits</x:v>
      </x:c>
      <x:c r="C27" s="12" t="str">
        <x:v>Service-specific limits</x:v>
      </x:c>
      <x:c r="D27" s="12" t="str">
        <x:v>Service-specific limits</x:v>
      </x:c>
      <x:c r="E27" s="12" t="str">
        <x:v>Service-specific limits</x:v>
      </x:c>
    </x:row>
    <x:row r="28" ht="112" customHeight="1">
      <x:c r="A28" s="13" t="str">
        <x:v>Limits and unresolved terms</x:v>
      </x:c>
      <x:c r="B28" s="13" t="str">
        <x:v>Maternity not covered; 1 ER visit; 1 outpatient surgery/visit per year. Hospice and specialty drugs excluded. Nonhospital setting restrictions for office/lab/imaging. OON terms unverified.</x:v>
      </x:c>
      <x:c r="C28" s="13" t="str">
        <x:v>Maternity 12-month wait; 2 ER visits; 2 outpatient surgeries/visits per year. Hospice and specialty drugs excluded. Nonhospital setting restrictions for office/lab/imaging. OON terms unverified.</x:v>
      </x:c>
      <x:c r="D28" s="13" t="str">
        <x:v>10 combined PCP/specialist/urgent visits; 3 outpatient surgeries; 2 inpatient surgeries; elective surgery excluded. 10 combined infusion/chemo/radiation visits. Maternity 12-month waiting period. OON terms unverified.</x:v>
      </x:c>
      <x:c r="E28" s="13" t="str">
        <x:v>10 combined PCP/specialist/urgent visits; 3 outpatient surgeries; 2 inpatient surgeries; elective surgery excluded. 10 combined infusion/chemo/radiation visits. Maternity 12-month waiting period. OON terms unverified.</x:v>
      </x:c>
    </x:row>
    <x:row r="29" ht="64" customHeight="1">
      <x:c r="A29" s="12" t="str">
        <x:v>Source and pages</x:v>
      </x:c>
      <x:c r="B29" s="15" t="str">
        <x:v>S12; 2-4</x:v>
      </x:c>
      <x:c r="C29" s="15" t="str">
        <x:v>S12; 2-4</x:v>
      </x:c>
      <x:c r="D29" s="15" t="str">
        <x:v>S11; 2-7</x:v>
      </x:c>
      <x:c r="E29" s="15" t="str">
        <x:v>S11; 2-7</x:v>
      </x:c>
    </x:row>
    <x:row r="30" ht="25" customHeight="1">
      <x:c r="A30" s="2"/>
      <x:c r="B30" s="2"/>
      <x:c r="C30" s="2"/>
      <x:c r="D30" s="2"/>
      <x:c r="E30" s="2"/>
    </x:row>
    <x:row r="31" ht="25" customHeight="1">
      <x:c r="A31" s="2"/>
      <x:c r="B31" s="2"/>
      <x:c r="C31" s="2"/>
      <x:c r="D31" s="2"/>
      <x:c r="E31" s="2"/>
    </x:row>
    <x:row r="32" ht="25" customHeight="1">
      <x:c r="A32" s="2"/>
      <x:c r="B32" s="2"/>
      <x:c r="C32" s="2"/>
      <x:c r="D32" s="2"/>
      <x:c r="E32" s="2"/>
    </x:row>
    <x:row r="33" ht="25" customHeight="1">
      <x:c r="A33" s="2"/>
      <x:c r="B33" s="2"/>
      <x:c r="C33" s="2"/>
      <x:c r="D33" s="2"/>
      <x:c r="E33" s="2"/>
    </x:row>
    <x:row r="34" ht="45" customHeight="1">
      <x:c r="A34" s="8" t="str">
        <x:v>Measure</x:v>
      </x:c>
      <x:c r="B34" s="8" t="str">
        <x:v>PHCS PPO 500</x:v>
      </x:c>
      <x:c r="C34" s="8" t="str">
        <x:v>VL 500</x:v>
      </x:c>
      <x:c r="D34" s="8" t="str">
        <x:v>MedMax 750</x:v>
      </x:c>
      <x:c r="E34" s="8" t="str">
        <x:v>PHCS PPO 750</x:v>
      </x:c>
    </x:row>
    <x:row r="35" ht="40" customHeight="1">
      <x:c r="A35" s="12" t="str">
        <x:v>Entity</x:v>
      </x:c>
      <x:c r="B35" s="12" t="str">
        <x:v>Life-X</x:v>
      </x:c>
      <x:c r="C35" s="12" t="str">
        <x:v>Life-X</x:v>
      </x:c>
      <x:c r="D35" s="12" t="str">
        <x:v>EnrollPrime</x:v>
      </x:c>
      <x:c r="E35" s="12" t="str">
        <x:v>Life-X</x:v>
      </x:c>
    </x:row>
    <x:row r="36" ht="64" customHeight="1">
      <x:c r="A36" s="13" t="str">
        <x:v>Plan structure</x:v>
      </x:c>
      <x:c r="B36" s="13" t="str">
        <x:v>PPO</x:v>
      </x:c>
      <x:c r="C36" s="13" t="str">
        <x:v>PPO network; INN schedule only</x:v>
      </x:c>
      <x:c r="D36" s="13" t="str">
        <x:v>PPO network; OON unverified</x:v>
      </x:c>
      <x:c r="E36" s="13" t="str">
        <x:v>PPO</x:v>
      </x:c>
    </x:row>
    <x:row r="37" ht="64" customHeight="1">
      <x:c r="A37" s="12" t="str">
        <x:v>Network</x:v>
      </x:c>
      <x:c r="B37" s="12" t="str">
        <x:v>PHCS PPO</x:v>
      </x:c>
      <x:c r="C37" s="12" t="str">
        <x:v>PHCS PPO</x:v>
      </x:c>
      <x:c r="D37" s="12" t="str">
        <x:v>First Health PPO</x:v>
      </x:c>
      <x:c r="E37" s="12" t="str">
        <x:v>PHCS PPO</x:v>
      </x:c>
    </x:row>
    <x:row r="38" ht="40" customHeight="1">
      <x:c r="A38" s="13" t="str">
        <x:v>INN individual deductible</x:v>
      </x:c>
      <x:c r="B38" s="14" t="n">
        <x:v>500</x:v>
      </x:c>
      <x:c r="C38" s="14" t="n">
        <x:v>500</x:v>
      </x:c>
      <x:c r="D38" s="14" t="n">
        <x:v>750</x:v>
      </x:c>
      <x:c r="E38" s="14" t="n">
        <x:v>750</x:v>
      </x:c>
    </x:row>
    <x:row r="39" ht="40" customHeight="1">
      <x:c r="A39" s="12" t="str">
        <x:v>INN family deductible</x:v>
      </x:c>
      <x:c r="B39" s="15" t="n">
        <x:v>1000</x:v>
      </x:c>
      <x:c r="C39" s="15" t="n">
        <x:v>1000</x:v>
      </x:c>
      <x:c r="D39" s="15" t="n">
        <x:v>1500</x:v>
      </x:c>
      <x:c r="E39" s="15" t="n">
        <x:v>1500</x:v>
      </x:c>
    </x:row>
    <x:row r="40" ht="40" customHeight="1">
      <x:c r="A40" s="13" t="str">
        <x:v>OON individual deductible</x:v>
      </x:c>
      <x:c r="B40" s="14" t="n">
        <x:v>500</x:v>
      </x:c>
      <x:c r="C40" s="13" t="str">
        <x:v>Not stated</x:v>
      </x:c>
      <x:c r="D40" s="13" t="str">
        <x:v>Not stated</x:v>
      </x:c>
      <x:c r="E40" s="14" t="n">
        <x:v>750</x:v>
      </x:c>
    </x:row>
    <x:row r="41" ht="40" customHeight="1">
      <x:c r="A41" s="12" t="str">
        <x:v>OON family deductible</x:v>
      </x:c>
      <x:c r="B41" s="15" t="n">
        <x:v>1000</x:v>
      </x:c>
      <x:c r="C41" s="12" t="str">
        <x:v>Not stated</x:v>
      </x:c>
      <x:c r="D41" s="12" t="str">
        <x:v>Not stated</x:v>
      </x:c>
      <x:c r="E41" s="15" t="n">
        <x:v>1500</x:v>
      </x:c>
    </x:row>
    <x:row r="42" ht="40" customHeight="1">
      <x:c r="A42" s="13" t="str">
        <x:v>INN member coinsurance</x:v>
      </x:c>
      <x:c r="B42" s="13" t="str">
        <x:v>Copay schedule</x:v>
      </x:c>
      <x:c r="C42" s="13" t="str">
        <x:v>Copay schedule</x:v>
      </x:c>
      <x:c r="D42" s="13" t="str">
        <x:v>Copay schedule</x:v>
      </x:c>
      <x:c r="E42" s="13" t="str">
        <x:v>Copay schedule</x:v>
      </x:c>
    </x:row>
    <x:row r="43" ht="64" customHeight="1">
      <x:c r="A43" s="12" t="str">
        <x:v>OON member coinsurance</x:v>
      </x:c>
      <x:c r="B43" s="12" t="str">
        <x:v>Copay + 10% after deductible</x:v>
      </x:c>
      <x:c r="C43" s="12" t="str">
        <x:v>No OON schedule supplied</x:v>
      </x:c>
      <x:c r="D43" s="12" t="str">
        <x:v>No OON schedule supplied</x:v>
      </x:c>
      <x:c r="E43" s="12" t="str">
        <x:v>Copay + 10% after deductible</x:v>
      </x:c>
    </x:row>
    <x:row r="44" ht="40" customHeight="1">
      <x:c r="A44" s="13" t="str">
        <x:v>INN individual OOP limit</x:v>
      </x:c>
      <x:c r="B44" s="14" t="n">
        <x:v>9200</x:v>
      </x:c>
      <x:c r="C44" s="14" t="n">
        <x:v>10600</x:v>
      </x:c>
      <x:c r="D44" s="14" t="n">
        <x:v>9200</x:v>
      </x:c>
      <x:c r="E44" s="14" t="n">
        <x:v>9200</x:v>
      </x:c>
    </x:row>
    <x:row r="45" ht="40" customHeight="1">
      <x:c r="A45" s="12" t="str">
        <x:v>INN family OOP limit</x:v>
      </x:c>
      <x:c r="B45" s="15" t="n">
        <x:v>18400</x:v>
      </x:c>
      <x:c r="C45" s="15" t="n">
        <x:v>21200</x:v>
      </x:c>
      <x:c r="D45" s="15" t="n">
        <x:v>18400</x:v>
      </x:c>
      <x:c r="E45" s="15" t="n">
        <x:v>18400</x:v>
      </x:c>
    </x:row>
    <x:row r="46" ht="40" customHeight="1">
      <x:c r="A46" s="13" t="str">
        <x:v>OON individual OOP limit</x:v>
      </x:c>
      <x:c r="B46" s="14" t="n">
        <x:v>9200</x:v>
      </x:c>
      <x:c r="C46" s="13" t="str">
        <x:v>Not stated</x:v>
      </x:c>
      <x:c r="D46" s="13" t="str">
        <x:v>Not stated</x:v>
      </x:c>
      <x:c r="E46" s="14" t="n">
        <x:v>9200</x:v>
      </x:c>
    </x:row>
    <x:row r="47" ht="40" customHeight="1">
      <x:c r="A47" s="12" t="str">
        <x:v>OON family OOP limit</x:v>
      </x:c>
      <x:c r="B47" s="15" t="n">
        <x:v>18400</x:v>
      </x:c>
      <x:c r="C47" s="12" t="str">
        <x:v>Not stated</x:v>
      </x:c>
      <x:c r="D47" s="12" t="str">
        <x:v>Not stated</x:v>
      </x:c>
      <x:c r="E47" s="15" t="n">
        <x:v>18400</x:v>
      </x:c>
    </x:row>
    <x:row r="48" ht="112" customHeight="1">
      <x:c r="A48" s="13" t="str">
        <x:v>Gap benefit</x:v>
      </x:c>
      <x:c r="B48" s="13" t="str">
        <x:v>Not applicable</x:v>
      </x:c>
      <x:c r="C48" s="13" t="str">
        <x:v>Not applicable</x:v>
      </x:c>
      <x:c r="D48" s="13" t="str">
        <x:v>Not applicable</x:v>
      </x:c>
      <x:c r="E48" s="13" t="str">
        <x:v>Not applicable</x:v>
      </x:c>
    </x:row>
    <x:row r="49" ht="64" customHeight="1">
      <x:c r="A49" s="12" t="str">
        <x:v>Primary care</x:v>
      </x:c>
      <x:c r="B49" s="12" t="str">
        <x:v>$50 after deductible</x:v>
      </x:c>
      <x:c r="C49" s="12" t="str">
        <x:v>$50 after deductible</x:v>
      </x:c>
      <x:c r="D49" s="12" t="str">
        <x:v>$50 after deductible</x:v>
      </x:c>
      <x:c r="E49" s="12" t="str">
        <x:v>$50 after deductible</x:v>
      </x:c>
    </x:row>
    <x:row r="50" ht="64" customHeight="1">
      <x:c r="A50" s="13" t="str">
        <x:v>Specialist</x:v>
      </x:c>
      <x:c r="B50" s="13" t="str">
        <x:v>$50 after deductible</x:v>
      </x:c>
      <x:c r="C50" s="13" t="str">
        <x:v>$50 after deductible</x:v>
      </x:c>
      <x:c r="D50" s="13" t="str">
        <x:v>$50 after deductible</x:v>
      </x:c>
      <x:c r="E50" s="13" t="str">
        <x:v>$50 after deductible</x:v>
      </x:c>
    </x:row>
    <x:row r="51" ht="112" customHeight="1">
      <x:c r="A51" s="12" t="str">
        <x:v>Hospital</x:v>
      </x:c>
      <x:c r="B51" s="12" t="str">
        <x:v>$2,500/admission; $2,500/inpatient surgery; associated services $250, after deductible</x:v>
      </x:c>
      <x:c r="C51" s="12" t="str">
        <x:v>$1,000/admission after deductible; 3 admissions, 10 days each; associated services $250</x:v>
      </x:c>
      <x:c r="D51" s="12" t="str">
        <x:v>$1,000 copay after deductible; 2 stays/year, 10 days/stay</x:v>
      </x:c>
      <x:c r="E51" s="12" t="str">
        <x:v>$2,500/admission; $2,500/inpatient surgery; associated services $250, after deductible</x:v>
      </x:c>
    </x:row>
    <x:row r="52" ht="112" customHeight="1">
      <x:c r="A52" s="13" t="str">
        <x:v>Prescription drugs</x:v>
      </x:c>
      <x:c r="B52" s="13" t="str">
        <x:v>Generic $0; brands/specialty list assistance programs; OON brands/specialty not covered</x:v>
      </x:c>
      <x:c r="C52" s="13" t="str">
        <x:v>Preventive generic/brand $0; generic $0; preferred/nonpreferred/specialty list assistance programs, not guaranteed coverage</x:v>
      </x:c>
      <x:c r="D52" s="13" t="str">
        <x:v>Preventive generics before deductible; standard generics $0 after deductible. Assistance program is not a guaranteed drug benefit.</x:v>
      </x:c>
      <x:c r="E52" s="13" t="str">
        <x:v>Generic $0; brands/specialty list assistance programs; OON brands/specialty not covered</x:v>
      </x:c>
    </x:row>
    <x:row r="53" ht="64" customHeight="1">
      <x:c r="A53" s="12" t="str">
        <x:v>Benefit maximum</x:v>
      </x:c>
      <x:c r="B53" s="12" t="str">
        <x:v>Service-specific limits</x:v>
      </x:c>
      <x:c r="C53" s="12" t="str">
        <x:v>Service-specific limits; no comprehensive maximum</x:v>
      </x:c>
      <x:c r="D53" s="12" t="str">
        <x:v>Service-specific limits</x:v>
      </x:c>
      <x:c r="E53" s="12" t="str">
        <x:v>Service-specific limits</x:v>
      </x:c>
    </x:row>
    <x:row r="54" ht="112" customHeight="1">
      <x:c r="A54" s="13" t="str">
        <x:v>Limits and unresolved terms</x:v>
      </x:c>
      <x:c r="B54" s="13" t="str">
        <x:v>12 chiropractic visits; 16 combined therapy visits; 10 home health visits; 5 DME items. Elective surgery excluded first 90 days. OON generally copay plus 10% after deductible; source emergency exception applies.</x:v>
      </x:c>
      <x:c r="C54" s="13" t="str">
        <x:v>10 combined PCP/specialist/urgent visits; 3 outpatient surgeries; 2 inpatient surgeries; 10 combined infusion/chemo/radiation visits. Beyond visit limits, member exposure is unlimited. OON terms unverified. Elective surgery excluded first 90 days; emergency exception described in source.</x:v>
      </x:c>
      <x:c r="D54" s="13" t="str">
        <x:v>10 combined PCP/specialist/urgent visits; 3 outpatient surgeries; 2 inpatient surgeries; elective surgery excluded. 10 combined infusion/chemo/radiation visits. Maternity 12-month waiting period. OON terms unverified.</x:v>
      </x:c>
      <x:c r="E54" s="13" t="str">
        <x:v>12 chiropractic visits; 16 combined therapy visits; 10 home health visits; 5 DME items. Elective surgery excluded first 90 days. OON generally copay plus 10% after deductible; source emergency exception applies.</x:v>
      </x:c>
    </x:row>
    <x:row r="55" ht="64" customHeight="1">
      <x:c r="A55" s="12" t="str">
        <x:v>Source and pages</x:v>
      </x:c>
      <x:c r="B55" s="15" t="str">
        <x:v>S31; 2-4</x:v>
      </x:c>
      <x:c r="C55" s="15" t="str">
        <x:v>S28; 2-5</x:v>
      </x:c>
      <x:c r="D55" s="15" t="str">
        <x:v>S11; 2-7</x:v>
      </x:c>
      <x:c r="E55" s="15" t="str">
        <x:v>S24; 2-4</x:v>
      </x:c>
    </x:row>
    <x:row r="56" ht="25" customHeight="1">
      <x:c r="A56" s="2"/>
      <x:c r="B56" s="2"/>
      <x:c r="C56" s="2"/>
      <x:c r="D56" s="2"/>
      <x:c r="E56" s="2"/>
    </x:row>
    <x:row r="57" ht="25" customHeight="1">
      <x:c r="A57" s="2"/>
      <x:c r="B57" s="2"/>
      <x:c r="C57" s="2"/>
      <x:c r="D57" s="2"/>
      <x:c r="E57" s="2"/>
    </x:row>
    <x:row r="58" ht="25" customHeight="1">
      <x:c r="A58" s="2"/>
      <x:c r="B58" s="2"/>
      <x:c r="C58" s="2"/>
      <x:c r="D58" s="2"/>
      <x:c r="E58" s="2"/>
    </x:row>
    <x:row r="59" ht="25" customHeight="1">
      <x:c r="A59" s="2"/>
      <x:c r="B59" s="2"/>
      <x:c r="C59" s="2"/>
      <x:c r="D59" s="2"/>
      <x:c r="E59" s="2"/>
    </x:row>
    <x:row r="60" ht="45" customHeight="1">
      <x:c r="A60" s="8" t="str">
        <x:v>Measure</x:v>
      </x:c>
      <x:c r="B60" s="8" t="str">
        <x:v>VL 750</x:v>
      </x:c>
      <x:c r="C60" s="8" t="str">
        <x:v>MedMax 1000</x:v>
      </x:c>
      <x:c r="D60" s="8" t="str">
        <x:v>PHCS PPO 1000</x:v>
      </x:c>
      <x:c r="E60" s="8" t="str">
        <x:v>VL 1000</x:v>
      </x:c>
    </x:row>
    <x:row r="61" ht="40" customHeight="1">
      <x:c r="A61" s="12" t="str">
        <x:v>Entity</x:v>
      </x:c>
      <x:c r="B61" s="12" t="str">
        <x:v>Life-X</x:v>
      </x:c>
      <x:c r="C61" s="12" t="str">
        <x:v>EnrollPrime</x:v>
      </x:c>
      <x:c r="D61" s="12" t="str">
        <x:v>Life-X</x:v>
      </x:c>
      <x:c r="E61" s="12" t="str">
        <x:v>Life-X</x:v>
      </x:c>
    </x:row>
    <x:row r="62" ht="64" customHeight="1">
      <x:c r="A62" s="13" t="str">
        <x:v>Plan structure</x:v>
      </x:c>
      <x:c r="B62" s="13" t="str">
        <x:v>PPO network; INN schedule only</x:v>
      </x:c>
      <x:c r="C62" s="13" t="str">
        <x:v>PPO network; OON unverified</x:v>
      </x:c>
      <x:c r="D62" s="13" t="str">
        <x:v>PPO</x:v>
      </x:c>
      <x:c r="E62" s="13" t="str">
        <x:v>PPO network; INN schedule only</x:v>
      </x:c>
    </x:row>
    <x:row r="63" ht="64" customHeight="1">
      <x:c r="A63" s="12" t="str">
        <x:v>Network</x:v>
      </x:c>
      <x:c r="B63" s="12" t="str">
        <x:v>PHCS PPO</x:v>
      </x:c>
      <x:c r="C63" s="12" t="str">
        <x:v>First Health PPO</x:v>
      </x:c>
      <x:c r="D63" s="12" t="str">
        <x:v>PHCS PPO</x:v>
      </x:c>
      <x:c r="E63" s="12" t="str">
        <x:v>PHCS PPO</x:v>
      </x:c>
    </x:row>
    <x:row r="64" ht="40" customHeight="1">
      <x:c r="A64" s="13" t="str">
        <x:v>INN individual deductible</x:v>
      </x:c>
      <x:c r="B64" s="14" t="n">
        <x:v>750</x:v>
      </x:c>
      <x:c r="C64" s="14" t="n">
        <x:v>1000</x:v>
      </x:c>
      <x:c r="D64" s="14" t="n">
        <x:v>1000</x:v>
      </x:c>
      <x:c r="E64" s="14" t="n">
        <x:v>1000</x:v>
      </x:c>
    </x:row>
    <x:row r="65" ht="40" customHeight="1">
      <x:c r="A65" s="12" t="str">
        <x:v>INN family deductible</x:v>
      </x:c>
      <x:c r="B65" s="15" t="n">
        <x:v>1500</x:v>
      </x:c>
      <x:c r="C65" s="15" t="n">
        <x:v>2000</x:v>
      </x:c>
      <x:c r="D65" s="15" t="n">
        <x:v>2000</x:v>
      </x:c>
      <x:c r="E65" s="15" t="n">
        <x:v>2000</x:v>
      </x:c>
    </x:row>
    <x:row r="66" ht="40" customHeight="1">
      <x:c r="A66" s="13" t="str">
        <x:v>OON individual deductible</x:v>
      </x:c>
      <x:c r="B66" s="13" t="str">
        <x:v>Not stated</x:v>
      </x:c>
      <x:c r="C66" s="13" t="str">
        <x:v>Not stated</x:v>
      </x:c>
      <x:c r="D66" s="14" t="n">
        <x:v>1000</x:v>
      </x:c>
      <x:c r="E66" s="13" t="str">
        <x:v>Not stated</x:v>
      </x:c>
    </x:row>
    <x:row r="67" ht="40" customHeight="1">
      <x:c r="A67" s="12" t="str">
        <x:v>OON family deductible</x:v>
      </x:c>
      <x:c r="B67" s="12" t="str">
        <x:v>Not stated</x:v>
      </x:c>
      <x:c r="C67" s="12" t="str">
        <x:v>Not stated</x:v>
      </x:c>
      <x:c r="D67" s="15" t="n">
        <x:v>2000</x:v>
      </x:c>
      <x:c r="E67" s="12" t="str">
        <x:v>Not stated</x:v>
      </x:c>
    </x:row>
    <x:row r="68" ht="40" customHeight="1">
      <x:c r="A68" s="13" t="str">
        <x:v>INN member coinsurance</x:v>
      </x:c>
      <x:c r="B68" s="13" t="str">
        <x:v>Copay schedule</x:v>
      </x:c>
      <x:c r="C68" s="13" t="str">
        <x:v>Copay schedule</x:v>
      </x:c>
      <x:c r="D68" s="13" t="str">
        <x:v>Copay schedule</x:v>
      </x:c>
      <x:c r="E68" s="13" t="str">
        <x:v>Copay schedule</x:v>
      </x:c>
    </x:row>
    <x:row r="69" ht="64" customHeight="1">
      <x:c r="A69" s="12" t="str">
        <x:v>OON member coinsurance</x:v>
      </x:c>
      <x:c r="B69" s="12" t="str">
        <x:v>No OON schedule supplied</x:v>
      </x:c>
      <x:c r="C69" s="12" t="str">
        <x:v>No OON schedule supplied</x:v>
      </x:c>
      <x:c r="D69" s="12" t="str">
        <x:v>Copay + 10% after deductible</x:v>
      </x:c>
      <x:c r="E69" s="12" t="str">
        <x:v>No OON schedule supplied</x:v>
      </x:c>
    </x:row>
    <x:row r="70" ht="40" customHeight="1">
      <x:c r="A70" s="13" t="str">
        <x:v>INN individual OOP limit</x:v>
      </x:c>
      <x:c r="B70" s="14" t="n">
        <x:v>10600</x:v>
      </x:c>
      <x:c r="C70" s="14" t="n">
        <x:v>9200</x:v>
      </x:c>
      <x:c r="D70" s="14" t="n">
        <x:v>9200</x:v>
      </x:c>
      <x:c r="E70" s="14" t="n">
        <x:v>10600</x:v>
      </x:c>
    </x:row>
    <x:row r="71" ht="40" customHeight="1">
      <x:c r="A71" s="12" t="str">
        <x:v>INN family OOP limit</x:v>
      </x:c>
      <x:c r="B71" s="15" t="n">
        <x:v>21200</x:v>
      </x:c>
      <x:c r="C71" s="15" t="n">
        <x:v>18400</x:v>
      </x:c>
      <x:c r="D71" s="15" t="n">
        <x:v>18400</x:v>
      </x:c>
      <x:c r="E71" s="15" t="n">
        <x:v>21200</x:v>
      </x:c>
    </x:row>
    <x:row r="72" ht="40" customHeight="1">
      <x:c r="A72" s="13" t="str">
        <x:v>OON individual OOP limit</x:v>
      </x:c>
      <x:c r="B72" s="13" t="str">
        <x:v>Not stated</x:v>
      </x:c>
      <x:c r="C72" s="13" t="str">
        <x:v>Not stated</x:v>
      </x:c>
      <x:c r="D72" s="14" t="n">
        <x:v>9200</x:v>
      </x:c>
      <x:c r="E72" s="13" t="str">
        <x:v>Not stated</x:v>
      </x:c>
    </x:row>
    <x:row r="73" ht="40" customHeight="1">
      <x:c r="A73" s="12" t="str">
        <x:v>OON family OOP limit</x:v>
      </x:c>
      <x:c r="B73" s="12" t="str">
        <x:v>Not stated</x:v>
      </x:c>
      <x:c r="C73" s="12" t="str">
        <x:v>Not stated</x:v>
      </x:c>
      <x:c r="D73" s="15" t="n">
        <x:v>18400</x:v>
      </x:c>
      <x:c r="E73" s="12" t="str">
        <x:v>Not stated</x:v>
      </x:c>
    </x:row>
    <x:row r="74" ht="112" customHeight="1">
      <x:c r="A74" s="13" t="str">
        <x:v>Gap benefit</x:v>
      </x:c>
      <x:c r="B74" s="13" t="str">
        <x:v>Not applicable</x:v>
      </x:c>
      <x:c r="C74" s="13" t="str">
        <x:v>Not applicable</x:v>
      </x:c>
      <x:c r="D74" s="13" t="str">
        <x:v>Not applicable</x:v>
      </x:c>
      <x:c r="E74" s="13" t="str">
        <x:v>Not applicable</x:v>
      </x:c>
    </x:row>
    <x:row r="75" ht="64" customHeight="1">
      <x:c r="A75" s="12" t="str">
        <x:v>Primary care</x:v>
      </x:c>
      <x:c r="B75" s="12" t="str">
        <x:v>$50 after deductible</x:v>
      </x:c>
      <x:c r="C75" s="12" t="str">
        <x:v>$50 after deductible</x:v>
      </x:c>
      <x:c r="D75" s="12" t="str">
        <x:v>$50 after deductible</x:v>
      </x:c>
      <x:c r="E75" s="12" t="str">
        <x:v>$50 after deductible</x:v>
      </x:c>
    </x:row>
    <x:row r="76" ht="64" customHeight="1">
      <x:c r="A76" s="13" t="str">
        <x:v>Specialist</x:v>
      </x:c>
      <x:c r="B76" s="13" t="str">
        <x:v>$50 after deductible</x:v>
      </x:c>
      <x:c r="C76" s="13" t="str">
        <x:v>$50 after deductible</x:v>
      </x:c>
      <x:c r="D76" s="13" t="str">
        <x:v>$50 after deductible</x:v>
      </x:c>
      <x:c r="E76" s="13" t="str">
        <x:v>$50 after deductible</x:v>
      </x:c>
    </x:row>
    <x:row r="77" ht="112" customHeight="1">
      <x:c r="A77" s="12" t="str">
        <x:v>Hospital</x:v>
      </x:c>
      <x:c r="B77" s="12" t="str">
        <x:v>$1,000/admission after deductible; 3 admissions, 10 days each; associated services $250</x:v>
      </x:c>
      <x:c r="C77" s="12" t="str">
        <x:v>$1,000 copay after deductible; 2 stays/year, 10 days/stay</x:v>
      </x:c>
      <x:c r="D77" s="12" t="str">
        <x:v>$2,500/admission; $2,500/inpatient surgery; associated services $250, after deductible</x:v>
      </x:c>
      <x:c r="E77" s="12" t="str">
        <x:v>$1,000/admission after deductible; 3 admissions, 10 days each; associated services $250</x:v>
      </x:c>
    </x:row>
    <x:row r="78" ht="112" customHeight="1">
      <x:c r="A78" s="13" t="str">
        <x:v>Prescription drugs</x:v>
      </x:c>
      <x:c r="B78" s="13" t="str">
        <x:v>Preventive generic/brand $0; generic $0; preferred/nonpreferred/specialty list assistance programs, not guaranteed coverage</x:v>
      </x:c>
      <x:c r="C78" s="13" t="str">
        <x:v>Preventive generics before deductible; standard generics $0 after deductible. Assistance program is not a guaranteed drug benefit.</x:v>
      </x:c>
      <x:c r="D78" s="13" t="str">
        <x:v>Generic $0; brands/specialty list assistance programs; OON brands/specialty not covered</x:v>
      </x:c>
      <x:c r="E78" s="13" t="str">
        <x:v>Preventive generic/brand $0; generic $0; preferred/nonpreferred/specialty list assistance programs, not guaranteed coverage</x:v>
      </x:c>
    </x:row>
    <x:row r="79" ht="64" customHeight="1">
      <x:c r="A79" s="12" t="str">
        <x:v>Benefit maximum</x:v>
      </x:c>
      <x:c r="B79" s="12" t="str">
        <x:v>Service-specific limits; no comprehensive maximum</x:v>
      </x:c>
      <x:c r="C79" s="12" t="str">
        <x:v>Service-specific limits</x:v>
      </x:c>
      <x:c r="D79" s="12" t="str">
        <x:v>Service-specific limits</x:v>
      </x:c>
      <x:c r="E79" s="12" t="str">
        <x:v>Service-specific limits; no comprehensive maximum</x:v>
      </x:c>
    </x:row>
    <x:row r="80" ht="112" customHeight="1">
      <x:c r="A80" s="13" t="str">
        <x:v>Limits and unresolved terms</x:v>
      </x:c>
      <x:c r="B80" s="13" t="str">
        <x:v>10 combined PCP/specialist/urgent visits; 3 outpatient surgeries; 2 inpatient surgeries; 10 combined infusion/chemo/radiation visits. Beyond visit limits, member exposure is unlimited. OON terms unverified. Elective surgery excluded first 90 days; emergency exception described in source.</x:v>
      </x:c>
      <x:c r="C80" s="13" t="str">
        <x:v>10 combined PCP/specialist/urgent visits; 3 outpatient surgeries; 2 inpatient surgeries; elective surgery excluded. 10 combined infusion/chemo/radiation visits. Maternity 12-month waiting period. OON terms unverified.</x:v>
      </x:c>
      <x:c r="D80" s="13" t="str">
        <x:v>12 chiropractic visits; 16 combined therapy visits; 10 home health visits; 5 DME items. Elective surgery excluded first 90 days. OON generally copay plus 10% after deductible; source emergency exception applies.</x:v>
      </x:c>
      <x:c r="E80" s="13" t="str">
        <x:v>10 combined PCP/specialist/urgent visits; 3 outpatient surgeries; 2 inpatient surgeries; 10 combined infusion/chemo/radiation visits. Beyond visit limits, member exposure is unlimited. OON terms unverified. Elective surgery excluded first 90 days; emergency exception described in source.</x:v>
      </x:c>
    </x:row>
    <x:row r="81" ht="64" customHeight="1">
      <x:c r="A81" s="12" t="str">
        <x:v>Source and pages</x:v>
      </x:c>
      <x:c r="B81" s="15" t="str">
        <x:v>S20; 2-5</x:v>
      </x:c>
      <x:c r="C81" s="15" t="str">
        <x:v>S11; 2-7</x:v>
      </x:c>
      <x:c r="D81" s="15" t="str">
        <x:v>S32; 2-4</x:v>
      </x:c>
      <x:c r="E81" s="15" t="str">
        <x:v>S21; 2-5</x:v>
      </x:c>
    </x:row>
    <x:row r="82" ht="25" customHeight="1">
      <x:c r="A82" s="2"/>
      <x:c r="B82" s="2"/>
      <x:c r="C82" s="2"/>
      <x:c r="D82" s="2"/>
      <x:c r="E82" s="2"/>
    </x:row>
    <x:row r="83" ht="25" customHeight="1">
      <x:c r="A83" s="2"/>
      <x:c r="B83" s="2"/>
      <x:c r="C83" s="2"/>
      <x:c r="D83" s="2"/>
      <x:c r="E83" s="2"/>
    </x:row>
    <x:row r="84" ht="25" customHeight="1">
      <x:c r="A84" s="2"/>
      <x:c r="B84" s="2"/>
      <x:c r="C84" s="2"/>
      <x:c r="D84" s="2"/>
      <x:c r="E84" s="2"/>
    </x:row>
    <x:row r="85" ht="25" customHeight="1">
      <x:c r="A85" s="2"/>
      <x:c r="B85" s="2"/>
      <x:c r="C85" s="2"/>
      <x:c r="D85" s="2"/>
      <x:c r="E85" s="2"/>
    </x:row>
    <x:row r="86" ht="45" customHeight="1">
      <x:c r="A86" s="8" t="str">
        <x:v>Measure</x:v>
      </x:c>
      <x:c r="B86" s="8" t="str">
        <x:v>MedMax 1500</x:v>
      </x:c>
      <x:c r="C86" s="8" t="str">
        <x:v>PHCS PPO 1500</x:v>
      </x:c>
      <x:c r="D86" s="8" t="str">
        <x:v>VL 1500</x:v>
      </x:c>
      <x:c r="E86" s="8" t="str">
        <x:v>BMI MVP Basic</x:v>
      </x:c>
    </x:row>
    <x:row r="87" ht="40" customHeight="1">
      <x:c r="A87" s="12" t="str">
        <x:v>Entity</x:v>
      </x:c>
      <x:c r="B87" s="12" t="str">
        <x:v>EnrollPrime</x:v>
      </x:c>
      <x:c r="C87" s="12" t="str">
        <x:v>Life-X</x:v>
      </x:c>
      <x:c r="D87" s="12" t="str">
        <x:v>Life-X</x:v>
      </x:c>
      <x:c r="E87" s="12" t="str">
        <x:v>BMI / Enroll Prime</x:v>
      </x:c>
    </x:row>
    <x:row r="88" ht="64" customHeight="1">
      <x:c r="A88" s="13" t="str">
        <x:v>Plan structure</x:v>
      </x:c>
      <x:c r="B88" s="13" t="str">
        <x:v>PPO network; OON unverified</x:v>
      </x:c>
      <x:c r="C88" s="13" t="str">
        <x:v>PPO</x:v>
      </x:c>
      <x:c r="D88" s="13" t="str">
        <x:v>PPO network; INN schedule only</x:v>
      </x:c>
      <x:c r="E88" s="13" t="str">
        <x:v>PPO / scheduled limited benefits</x:v>
      </x:c>
    </x:row>
    <x:row r="89" ht="64" customHeight="1">
      <x:c r="A89" s="12" t="str">
        <x:v>Network</x:v>
      </x:c>
      <x:c r="B89" s="12" t="str">
        <x:v>First Health PPO</x:v>
      </x:c>
      <x:c r="C89" s="12" t="str">
        <x:v>PHCS PPO</x:v>
      </x:c>
      <x:c r="D89" s="12" t="str">
        <x:v>PHCS PPO</x:v>
      </x:c>
      <x:c r="E89" s="12" t="str">
        <x:v>PHCS per BMI brochure; Extended PPO per lookup guide, exact access unverified</x:v>
      </x:c>
    </x:row>
    <x:row r="90" ht="40" customHeight="1">
      <x:c r="A90" s="13" t="str">
        <x:v>INN individual deductible</x:v>
      </x:c>
      <x:c r="B90" s="14" t="n">
        <x:v>1500</x:v>
      </x:c>
      <x:c r="C90" s="14" t="n">
        <x:v>1500</x:v>
      </x:c>
      <x:c r="D90" s="14" t="n">
        <x:v>1500</x:v>
      </x:c>
      <x:c r="E90" s="14" t="n">
        <x:v>0</x:v>
      </x:c>
    </x:row>
    <x:row r="91" ht="40" customHeight="1">
      <x:c r="A91" s="12" t="str">
        <x:v>INN family deductible</x:v>
      </x:c>
      <x:c r="B91" s="15" t="n">
        <x:v>3000</x:v>
      </x:c>
      <x:c r="C91" s="15" t="n">
        <x:v>3000</x:v>
      </x:c>
      <x:c r="D91" s="15" t="n">
        <x:v>3000</x:v>
      </x:c>
      <x:c r="E91" s="12" t="str">
        <x:v>Not stated</x:v>
      </x:c>
    </x:row>
    <x:row r="92" ht="40" customHeight="1">
      <x:c r="A92" s="13" t="str">
        <x:v>OON individual deductible</x:v>
      </x:c>
      <x:c r="B92" s="13" t="str">
        <x:v>Not stated</x:v>
      </x:c>
      <x:c r="C92" s="14" t="n">
        <x:v>1500</x:v>
      </x:c>
      <x:c r="D92" s="13" t="str">
        <x:v>Not stated</x:v>
      </x:c>
      <x:c r="E92" s="13" t="str">
        <x:v>Not covered or not stated</x:v>
      </x:c>
    </x:row>
    <x:row r="93" ht="40" customHeight="1">
      <x:c r="A93" s="12" t="str">
        <x:v>OON family deductible</x:v>
      </x:c>
      <x:c r="B93" s="12" t="str">
        <x:v>Not stated</x:v>
      </x:c>
      <x:c r="C93" s="15" t="n">
        <x:v>3000</x:v>
      </x:c>
      <x:c r="D93" s="12" t="str">
        <x:v>Not stated</x:v>
      </x:c>
      <x:c r="E93" s="12" t="str">
        <x:v>Not covered or not stated</x:v>
      </x:c>
    </x:row>
    <x:row r="94" ht="40" customHeight="1">
      <x:c r="A94" s="13" t="str">
        <x:v>INN member coinsurance</x:v>
      </x:c>
      <x:c r="B94" s="13" t="str">
        <x:v>Copay schedule</x:v>
      </x:c>
      <x:c r="C94" s="13" t="str">
        <x:v>Copay schedule</x:v>
      </x:c>
      <x:c r="D94" s="13" t="str">
        <x:v>Copay schedule</x:v>
      </x:c>
      <x:c r="E94" s="13" t="str">
        <x:v>Flat copays</x:v>
      </x:c>
    </x:row>
    <x:row r="95" ht="64" customHeight="1">
      <x:c r="A95" s="12" t="str">
        <x:v>OON member coinsurance</x:v>
      </x:c>
      <x:c r="B95" s="12" t="str">
        <x:v>No OON schedule supplied</x:v>
      </x:c>
      <x:c r="C95" s="12" t="str">
        <x:v>Copay + 10% after deductible</x:v>
      </x:c>
      <x:c r="D95" s="12" t="str">
        <x:v>No OON schedule supplied</x:v>
      </x:c>
      <x:c r="E95" s="12" t="str">
        <x:v>Not covered / no contracted facility rate</x:v>
      </x:c>
    </x:row>
    <x:row r="96" ht="40" customHeight="1">
      <x:c r="A96" s="13" t="str">
        <x:v>INN individual OOP limit</x:v>
      </x:c>
      <x:c r="B96" s="14" t="n">
        <x:v>9200</x:v>
      </x:c>
      <x:c r="C96" s="14" t="n">
        <x:v>9200</x:v>
      </x:c>
      <x:c r="D96" s="14" t="n">
        <x:v>10600</x:v>
      </x:c>
      <x:c r="E96" s="14" t="n">
        <x:v>8700</x:v>
      </x:c>
    </x:row>
    <x:row r="97" ht="40" customHeight="1">
      <x:c r="A97" s="12" t="str">
        <x:v>INN family OOP limit</x:v>
      </x:c>
      <x:c r="B97" s="15" t="n">
        <x:v>18400</x:v>
      </x:c>
      <x:c r="C97" s="15" t="n">
        <x:v>18400</x:v>
      </x:c>
      <x:c r="D97" s="15" t="n">
        <x:v>21200</x:v>
      </x:c>
      <x:c r="E97" s="15" t="n">
        <x:v>17400</x:v>
      </x:c>
    </x:row>
    <x:row r="98" ht="40" customHeight="1">
      <x:c r="A98" s="13" t="str">
        <x:v>OON individual OOP limit</x:v>
      </x:c>
      <x:c r="B98" s="13" t="str">
        <x:v>Not stated</x:v>
      </x:c>
      <x:c r="C98" s="14" t="n">
        <x:v>9200</x:v>
      </x:c>
      <x:c r="D98" s="13" t="str">
        <x:v>Not stated</x:v>
      </x:c>
      <x:c r="E98" s="13" t="str">
        <x:v>Not covered or not stated</x:v>
      </x:c>
    </x:row>
    <x:row r="99" ht="40" customHeight="1">
      <x:c r="A99" s="12" t="str">
        <x:v>OON family OOP limit</x:v>
      </x:c>
      <x:c r="B99" s="12" t="str">
        <x:v>Not stated</x:v>
      </x:c>
      <x:c r="C99" s="15" t="n">
        <x:v>18400</x:v>
      </x:c>
      <x:c r="D99" s="12" t="str">
        <x:v>Not stated</x:v>
      </x:c>
      <x:c r="E99" s="12" t="str">
        <x:v>Not covered or not stated</x:v>
      </x:c>
    </x:row>
    <x:row r="100" ht="112" customHeight="1">
      <x:c r="A100" s="13" t="str">
        <x:v>Gap benefit</x:v>
      </x:c>
      <x:c r="B100" s="13" t="str">
        <x:v>Not applicable</x:v>
      </x:c>
      <x:c r="C100" s="13" t="str">
        <x:v>Not applicable</x:v>
      </x:c>
      <x:c r="D100" s="13" t="str">
        <x:v>Not applicable</x:v>
      </x:c>
      <x:c r="E100" s="13" t="str">
        <x:v>Not applicable</x:v>
      </x:c>
    </x:row>
    <x:row r="101" ht="64" customHeight="1">
      <x:c r="A101" s="12" t="str">
        <x:v>Primary care</x:v>
      </x:c>
      <x:c r="B101" s="12" t="str">
        <x:v>$50 after deductible</x:v>
      </x:c>
      <x:c r="C101" s="12" t="str">
        <x:v>$50 after deductible</x:v>
      </x:c>
      <x:c r="D101" s="12" t="str">
        <x:v>$50 after deductible</x:v>
      </x:c>
      <x:c r="E101" s="12" t="str">
        <x:v>$25 (8/yr)</x:v>
      </x:c>
    </x:row>
    <x:row r="102" ht="64" customHeight="1">
      <x:c r="A102" s="13" t="str">
        <x:v>Specialist</x:v>
      </x:c>
      <x:c r="B102" s="13" t="str">
        <x:v>$50 after deductible</x:v>
      </x:c>
      <x:c r="C102" s="13" t="str">
        <x:v>$50 after deductible</x:v>
      </x:c>
      <x:c r="D102" s="13" t="str">
        <x:v>$50 after deductible</x:v>
      </x:c>
      <x:c r="E102" s="13" t="str">
        <x:v>$50 (8/yr, incl. mental health)</x:v>
      </x:c>
    </x:row>
    <x:row r="103" ht="112" customHeight="1">
      <x:c r="A103" s="12" t="str">
        <x:v>Hospital</x:v>
      </x:c>
      <x:c r="B103" s="12" t="str">
        <x:v>$1,000 copay after deductible; 2 stays/year, 10 days/stay</x:v>
      </x:c>
      <x:c r="C103" s="12" t="str">
        <x:v>$2,500/admission; $2,500/inpatient surgery; associated services $250, after deductible</x:v>
      </x:c>
      <x:c r="D103" s="12" t="str">
        <x:v>$1,000/admission after deductible; 3 admissions, 10 days each; associated services $250</x:v>
      </x:c>
      <x:c r="E103" s="12" t="str">
        <x:v>$350/admission incl. physician + surgery; 5 days, 2 surgeries/yr</x:v>
      </x:c>
    </x:row>
    <x:row r="104" ht="112" customHeight="1">
      <x:c r="A104" s="13" t="str">
        <x:v>Prescription drugs</x:v>
      </x:c>
      <x:c r="B104" s="13" t="str">
        <x:v>Preventive generics before deductible; standard generics $0 after deductible. Assistance program is not a guaranteed drug benefit.</x:v>
      </x:c>
      <x:c r="C104" s="13" t="str">
        <x:v>Generic $0; brands/specialty list assistance programs; OON brands/specialty not covered</x:v>
      </x:c>
      <x:c r="D104" s="13" t="str">
        <x:v>Preventive generic/brand $0; generic $0; preferred/nonpreferred/specialty list assistance programs, not guaranteed coverage</x:v>
      </x:c>
      <x:c r="E104" s="13" t="str">
        <x:v>$0 preventive generic; $5 generic; brand/specialty NOT COVERED</x:v>
      </x:c>
    </x:row>
    <x:row r="105" ht="64" customHeight="1">
      <x:c r="A105" s="12" t="str">
        <x:v>Benefit maximum</x:v>
      </x:c>
      <x:c r="B105" s="12" t="str">
        <x:v>Service-specific limits</x:v>
      </x:c>
      <x:c r="C105" s="12" t="str">
        <x:v>Service-specific limits</x:v>
      </x:c>
      <x:c r="D105" s="12" t="str">
        <x:v>Service-specific limits; no comprehensive maximum</x:v>
      </x:c>
      <x:c r="E105" s="12" t="str">
        <x:v>Service/day limits apply; see limits</x:v>
      </x:c>
    </x:row>
    <x:row r="106" ht="112" customHeight="1">
      <x:c r="A106" s="13" t="str">
        <x:v>Limits and unresolved terms</x:v>
      </x:c>
      <x:c r="B106" s="13" t="str">
        <x:v>10 combined PCP/specialist/urgent visits; 3 outpatient surgeries; 2 inpatient surgeries; elective surgery excluded. 10 combined infusion/chemo/radiation visits. Maternity 12-month waiting period. OON terms unverified.</x:v>
      </x:c>
      <x:c r="C106" s="13" t="str">
        <x:v>12 chiropractic visits; 16 combined therapy visits; 10 home health visits; 5 DME items. Elective surgery excluded first 90 days. OON generally copay plus 10% after deductible; source emergency exception applies.</x:v>
      </x:c>
      <x:c r="D106" s="13" t="str">
        <x:v>10 combined PCP/specialist/urgent visits; 3 outpatient surgeries; 2 inpatient surgeries; 10 combined infusion/chemo/radiation visits. Beyond visit limits, member exposure is unlimited. OON terms unverified. Elective surgery excluded first 90 days; emergency exception described in source.</x:v>
      </x:c>
      <x:c r="E106" s="13" t="str">
        <x:v>Chiro $50, 10 visits; home health $25, 10; chem dep IP $250/day 5 days, OP $25 8 visits; precert over $1,000 (else 50% reduction); hospital-based labs/imaging/preventive not covered; Diagnosis/surgery within limits; chemo/radiation excluded (#46); Days/visits beyond limits are 100% member and don't count to OOP. Newborn coverage excluded (#55).</x:v>
      </x:c>
    </x:row>
    <x:row r="107" ht="64" customHeight="1">
      <x:c r="A107" s="12" t="str">
        <x:v>Source and pages</x:v>
      </x:c>
      <x:c r="B107" s="15" t="str">
        <x:v>S11; 2-7</x:v>
      </x:c>
      <x:c r="C107" s="15" t="str">
        <x:v>S25; 2-4</x:v>
      </x:c>
      <x:c r="D107" s="15" t="str">
        <x:v>S17; 2-5</x:v>
      </x:c>
      <x:c r="E107" s="15" t="str">
        <x:v>S50; 1-5</x:v>
      </x:c>
    </x:row>
    <x:row r="108" ht="25" customHeight="1">
      <x:c r="A108" s="2"/>
      <x:c r="B108" s="2"/>
      <x:c r="C108" s="2"/>
      <x:c r="D108" s="2"/>
      <x:c r="E108" s="2"/>
    </x:row>
    <x:row r="109" ht="25" customHeight="1">
      <x:c r="A109" s="2"/>
      <x:c r="B109" s="2"/>
      <x:c r="C109" s="2"/>
      <x:c r="D109" s="2"/>
      <x:c r="E109" s="2"/>
    </x:row>
    <x:row r="110" ht="25" customHeight="1">
      <x:c r="A110" s="2"/>
      <x:c r="B110" s="2"/>
      <x:c r="C110" s="2"/>
      <x:c r="D110" s="2"/>
      <x:c r="E110" s="2"/>
    </x:row>
    <x:row r="111" ht="25" customHeight="1">
      <x:c r="A111" s="2"/>
      <x:c r="B111" s="2"/>
      <x:c r="C111" s="2"/>
      <x:c r="D111" s="2"/>
      <x:c r="E111" s="2"/>
    </x:row>
    <x:row r="112" ht="45" customHeight="1">
      <x:c r="A112" s="8" t="str">
        <x:v>Measure</x:v>
      </x:c>
      <x:c r="B112" s="8" t="str">
        <x:v>BMI MVP Value</x:v>
      </x:c>
      <x:c r="C112" s="8" t="str">
        <x:v>BMI MVP Advantage</x:v>
      </x:c>
      <x:c r="D112" s="8" t="str">
        <x:v>BMI DVP Essentials 7500</x:v>
      </x:c>
      <x:c r="E112" s="8" t="str">
        <x:v>BMI DVP Essentials 5000</x:v>
      </x:c>
    </x:row>
    <x:row r="113" ht="40" customHeight="1">
      <x:c r="A113" s="12" t="str">
        <x:v>Entity</x:v>
      </x:c>
      <x:c r="B113" s="12" t="str">
        <x:v>BMI / Enroll Prime</x:v>
      </x:c>
      <x:c r="C113" s="12" t="str">
        <x:v>BMI / Enroll Prime</x:v>
      </x:c>
      <x:c r="D113" s="12" t="str">
        <x:v>BMI / Enroll Prime</x:v>
      </x:c>
      <x:c r="E113" s="12" t="str">
        <x:v>BMI / Enroll Prime</x:v>
      </x:c>
    </x:row>
    <x:row r="114" ht="64" customHeight="1">
      <x:c r="A114" s="13" t="str">
        <x:v>Plan structure</x:v>
      </x:c>
      <x:c r="B114" s="13" t="str">
        <x:v>PPO / scheduled limited benefits</x:v>
      </x:c>
      <x:c r="C114" s="13" t="str">
        <x:v>PPO / scheduled limited benefits</x:v>
      </x:c>
      <x:c r="D114" s="13" t="str">
        <x:v>PPO / scheduled limited benefits</x:v>
      </x:c>
      <x:c r="E114" s="13" t="str">
        <x:v>PPO / scheduled limited benefits</x:v>
      </x:c>
    </x:row>
    <x:row r="115" ht="64" customHeight="1">
      <x:c r="A115" s="12" t="str">
        <x:v>Network</x:v>
      </x:c>
      <x:c r="B115" s="12" t="str">
        <x:v>PHCS per BMI brochure; Extended PPO per lookup guide, exact access unverified</x:v>
      </x:c>
      <x:c r="C115" s="12" t="str">
        <x:v>PHCS per BMI brochure; Extended PPO per lookup guide, exact access unverified</x:v>
      </x:c>
      <x:c r="D115" s="12" t="str">
        <x:v>PHCS per BMI brochure; Extended PPO per lookup guide, exact access unverified</x:v>
      </x:c>
      <x:c r="E115" s="12" t="str">
        <x:v>PHCS per BMI brochure; Extended PPO per lookup guide, exact access unverified</x:v>
      </x:c>
    </x:row>
    <x:row r="116" ht="40" customHeight="1">
      <x:c r="A116" s="13" t="str">
        <x:v>INN individual deductible</x:v>
      </x:c>
      <x:c r="B116" s="14" t="n">
        <x:v>0</x:v>
      </x:c>
      <x:c r="C116" s="14" t="n">
        <x:v>0</x:v>
      </x:c>
      <x:c r="D116" s="14" t="n">
        <x:v>7500</x:v>
      </x:c>
      <x:c r="E116" s="14" t="n">
        <x:v>5000</x:v>
      </x:c>
    </x:row>
    <x:row r="117" ht="40" customHeight="1">
      <x:c r="A117" s="12" t="str">
        <x:v>INN family deductible</x:v>
      </x:c>
      <x:c r="B117" s="12" t="str">
        <x:v>Not stated</x:v>
      </x:c>
      <x:c r="C117" s="12" t="str">
        <x:v>Not stated</x:v>
      </x:c>
      <x:c r="D117" s="15" t="n">
        <x:v>15000</x:v>
      </x:c>
      <x:c r="E117" s="15" t="n">
        <x:v>10000</x:v>
      </x:c>
    </x:row>
    <x:row r="118" ht="40" customHeight="1">
      <x:c r="A118" s="13" t="str">
        <x:v>OON individual deductible</x:v>
      </x:c>
      <x:c r="B118" s="13" t="str">
        <x:v>Not covered or not stated</x:v>
      </x:c>
      <x:c r="C118" s="13" t="str">
        <x:v>Not covered or not stated</x:v>
      </x:c>
      <x:c r="D118" s="13" t="str">
        <x:v>Not covered or not stated</x:v>
      </x:c>
      <x:c r="E118" s="13" t="str">
        <x:v>Not covered or not stated</x:v>
      </x:c>
    </x:row>
    <x:row r="119" ht="40" customHeight="1">
      <x:c r="A119" s="12" t="str">
        <x:v>OON family deductible</x:v>
      </x:c>
      <x:c r="B119" s="12" t="str">
        <x:v>Not covered or not stated</x:v>
      </x:c>
      <x:c r="C119" s="12" t="str">
        <x:v>Not covered or not stated</x:v>
      </x:c>
      <x:c r="D119" s="12" t="str">
        <x:v>Not covered or not stated</x:v>
      </x:c>
      <x:c r="E119" s="12" t="str">
        <x:v>Not covered or not stated</x:v>
      </x:c>
    </x:row>
    <x:row r="120" ht="40" customHeight="1">
      <x:c r="A120" s="13" t="str">
        <x:v>INN member coinsurance</x:v>
      </x:c>
      <x:c r="B120" s="13" t="str">
        <x:v>Flat copays</x:v>
      </x:c>
      <x:c r="C120" s="13" t="str">
        <x:v>Flat copays</x:v>
      </x:c>
      <x:c r="D120" s="16" t="n">
        <x:v>0.5</x:v>
      </x:c>
      <x:c r="E120" s="16" t="n">
        <x:v>0.5</x:v>
      </x:c>
    </x:row>
    <x:row r="121" ht="64" customHeight="1">
      <x:c r="A121" s="12" t="str">
        <x:v>OON member coinsurance</x:v>
      </x:c>
      <x:c r="B121" s="12" t="str">
        <x:v>Not covered / no contracted facility rate</x:v>
      </x:c>
      <x:c r="C121" s="12" t="str">
        <x:v>Not covered / no contracted facility rate</x:v>
      </x:c>
      <x:c r="D121" s="12" t="str">
        <x:v>Not covered / no contracted facility rate</x:v>
      </x:c>
      <x:c r="E121" s="12" t="str">
        <x:v>Not covered / no contracted facility rate</x:v>
      </x:c>
    </x:row>
    <x:row r="122" ht="40" customHeight="1">
      <x:c r="A122" s="13" t="str">
        <x:v>INN individual OOP limit</x:v>
      </x:c>
      <x:c r="B122" s="14" t="n">
        <x:v>5000</x:v>
      </x:c>
      <x:c r="C122" s="14" t="n">
        <x:v>5000</x:v>
      </x:c>
      <x:c r="D122" s="14" t="n">
        <x:v>9200</x:v>
      </x:c>
      <x:c r="E122" s="14" t="n">
        <x:v>9200</x:v>
      </x:c>
    </x:row>
    <x:row r="123" ht="40" customHeight="1">
      <x:c r="A123" s="12" t="str">
        <x:v>INN family OOP limit</x:v>
      </x:c>
      <x:c r="B123" s="15" t="n">
        <x:v>10000</x:v>
      </x:c>
      <x:c r="C123" s="15" t="n">
        <x:v>10000</x:v>
      </x:c>
      <x:c r="D123" s="15" t="n">
        <x:v>18400</x:v>
      </x:c>
      <x:c r="E123" s="15" t="n">
        <x:v>18400</x:v>
      </x:c>
    </x:row>
    <x:row r="124" ht="40" customHeight="1">
      <x:c r="A124" s="13" t="str">
        <x:v>OON individual OOP limit</x:v>
      </x:c>
      <x:c r="B124" s="13" t="str">
        <x:v>Not covered or not stated</x:v>
      </x:c>
      <x:c r="C124" s="13" t="str">
        <x:v>Not covered or not stated</x:v>
      </x:c>
      <x:c r="D124" s="13" t="str">
        <x:v>Not covered or not stated</x:v>
      </x:c>
      <x:c r="E124" s="13" t="str">
        <x:v>Not covered or not stated</x:v>
      </x:c>
    </x:row>
    <x:row r="125" ht="40" customHeight="1">
      <x:c r="A125" s="12" t="str">
        <x:v>OON family OOP limit</x:v>
      </x:c>
      <x:c r="B125" s="12" t="str">
        <x:v>Not covered or not stated</x:v>
      </x:c>
      <x:c r="C125" s="12" t="str">
        <x:v>Not covered or not stated</x:v>
      </x:c>
      <x:c r="D125" s="12" t="str">
        <x:v>Not covered or not stated</x:v>
      </x:c>
      <x:c r="E125" s="12" t="str">
        <x:v>Not covered or not stated</x:v>
      </x:c>
    </x:row>
    <x:row r="126" ht="112" customHeight="1">
      <x:c r="A126" s="13" t="str">
        <x:v>Gap benefit</x:v>
      </x:c>
      <x:c r="B126" s="13" t="str">
        <x:v>Not applicable</x:v>
      </x:c>
      <x:c r="C126" s="13" t="str">
        <x:v>Not applicable</x:v>
      </x:c>
      <x:c r="D126" s="13" t="str">
        <x:v>Not applicable</x:v>
      </x:c>
      <x:c r="E126" s="13" t="str">
        <x:v>Not applicable</x:v>
      </x:c>
    </x:row>
    <x:row r="127" ht="64" customHeight="1">
      <x:c r="A127" s="12" t="str">
        <x:v>Primary care</x:v>
      </x:c>
      <x:c r="B127" s="12" t="str">
        <x:v>$15 (10/yr)</x:v>
      </x:c>
      <x:c r="C127" s="12" t="str">
        <x:v>$15 (12/yr)</x:v>
      </x:c>
      <x:c r="D127" s="12" t="str">
        <x:v>$50 (2/yr combined w/ specialist)</x:v>
      </x:c>
      <x:c r="E127" s="12" t="str">
        <x:v>$25 (2/yr combined)</x:v>
      </x:c>
    </x:row>
    <x:row r="128" ht="64" customHeight="1">
      <x:c r="A128" s="13" t="str">
        <x:v>Specialist</x:v>
      </x:c>
      <x:c r="B128" s="13" t="str">
        <x:v>$25 (10/yr)</x:v>
      </x:c>
      <x:c r="C128" s="13" t="str">
        <x:v>$25 (12/yr)</x:v>
      </x:c>
      <x:c r="D128" s="13" t="str">
        <x:v>$75 (combined)</x:v>
      </x:c>
      <x:c r="E128" s="13" t="str">
        <x:v>$50 (combined)</x:v>
      </x:c>
    </x:row>
    <x:row r="129" ht="112" customHeight="1">
      <x:c r="A129" s="12" t="str">
        <x:v>Hospital</x:v>
      </x:c>
      <x:c r="B129" s="12" t="str">
        <x:v>$350/admission; 7 days, 3 surgeries/yr</x:v>
      </x:c>
      <x:c r="C129" s="12" t="str">
        <x:v>$350/admission; 10 days, 4 surgeries/yr</x:v>
      </x:c>
      <x:c r="D129" s="12" t="str">
        <x:v>Ded + 50%; 5 days, 1 surgery/yr</x:v>
      </x:c>
      <x:c r="E129" s="12" t="str">
        <x:v>Ded + 50%; 5 days, 1 surgery</x:v>
      </x:c>
    </x:row>
    <x:row r="130" ht="112" customHeight="1">
      <x:c r="A130" s="13" t="str">
        <x:v>Prescription drugs</x:v>
      </x:c>
      <x:c r="B130" s="13" t="str">
        <x:v>$0 preventive generic; $5 generic; brand NOT COVERED</x:v>
      </x:c>
      <x:c r="C130" s="13" t="str">
        <x:v>$0 preventive generic; $5 generic; brand NOT COVERED</x:v>
      </x:c>
      <x:c r="D130" s="13" t="str">
        <x:v>$0 preventive generic; other generics discount only; brand NOT COVERED</x:v>
      </x:c>
      <x:c r="E130" s="13" t="str">
        <x:v>Same as 7500</x:v>
      </x:c>
    </x:row>
    <x:row r="131" ht="64" customHeight="1">
      <x:c r="A131" s="12" t="str">
        <x:v>Benefit maximum</x:v>
      </x:c>
      <x:c r="B131" s="12" t="str">
        <x:v>Service/day limits apply; see limits</x:v>
      </x:c>
      <x:c r="C131" s="12" t="str">
        <x:v>Service/day limits apply; see limits</x:v>
      </x:c>
      <x:c r="D131" s="12" t="str">
        <x:v>Service/day limits apply; see limits</x:v>
      </x:c>
      <x:c r="E131" s="12" t="str">
        <x:v>Service/day limits apply; see limits</x:v>
      </x:c>
    </x:row>
    <x:row r="132" ht="112" customHeight="1">
      <x:c r="A132" s="13" t="str">
        <x:v>Limits and unresolved terms</x:v>
      </x:c>
      <x:c r="B132" s="13" t="str">
        <x:v>Chiro $25, 10; home health $25, 15; chem dep IP 7 days, OP 10 visits (brochure said 7 days); Chemo/radiation excluded; Priced near 7350 Value with far less catastrophic protection.</x:v>
      </x:c>
      <x:c r="C132" s="13" t="str">
        <x:v>Chiro $25, 10; home health $25, 20; chem dep IP 10 days, OP 12 visits; Chemo/radiation excluded; Most defensible limited plan reviewed.</x:v>
      </x:c>
      <x:c r="D132" s="13" t="str">
        <x:v>Chiro ded + $50, 10; home health ded + $25, 10; chem dep IP 5 days, OP 8 visits ded + 50%; Chemo/radiation excluded; Only Essentials worth showing, for price-only buyers.</x:v>
      </x:c>
      <x:c r="E132" s="13" t="str">
        <x:v>Same as 7500; Chemo/radiation excluded</x:v>
      </x:c>
    </x:row>
    <x:row r="133" ht="64" customHeight="1">
      <x:c r="A133" s="12" t="str">
        <x:v>Source and pages</x:v>
      </x:c>
      <x:c r="B133" s="15" t="str">
        <x:v>S51; 1-5</x:v>
      </x:c>
      <x:c r="C133" s="15" t="str">
        <x:v>S52; 1-5</x:v>
      </x:c>
      <x:c r="D133" s="15" t="str">
        <x:v>S53; 1-5</x:v>
      </x:c>
      <x:c r="E133" s="15" t="str">
        <x:v>S54; 1-5</x:v>
      </x:c>
    </x:row>
    <x:row r="134" ht="25" customHeight="1">
      <x:c r="A134" s="2"/>
      <x:c r="B134" s="2"/>
      <x:c r="C134" s="2"/>
      <x:c r="D134" s="2"/>
      <x:c r="E134" s="2"/>
    </x:row>
    <x:row r="135" ht="25" customHeight="1">
      <x:c r="A135" s="2"/>
      <x:c r="B135" s="2"/>
      <x:c r="C135" s="2"/>
      <x:c r="D135" s="2"/>
      <x:c r="E135" s="2"/>
    </x:row>
    <x:row r="136" ht="25" customHeight="1">
      <x:c r="A136" s="2"/>
      <x:c r="B136" s="2"/>
      <x:c r="C136" s="2"/>
      <x:c r="D136" s="2"/>
      <x:c r="E136" s="2"/>
    </x:row>
    <x:row r="137" ht="25" customHeight="1">
      <x:c r="A137" s="2"/>
      <x:c r="B137" s="2"/>
      <x:c r="C137" s="2"/>
      <x:c r="D137" s="2"/>
      <x:c r="E137" s="2"/>
    </x:row>
    <x:row r="138" ht="45" customHeight="1">
      <x:c r="A138" s="8" t="str">
        <x:v>Measure</x:v>
      </x:c>
      <x:c r="B138" s="8" t="str">
        <x:v>BMI DVP Essentials 2500</x:v>
      </x:c>
      <x:c r="C138" s="8" t="str">
        <x:v>Vault Elite Health USA</x:v>
      </x:c>
      <x:c r="D138" s="8" t="str">
        <x:v>Vault Elite Health Plus USA</x:v>
      </x:c>
      <x:c r="E138" s="8" t="str">
        <x:v>Vault Bronze 2</x:v>
      </x:c>
    </x:row>
    <x:row r="139" ht="40" customHeight="1">
      <x:c r="A139" s="12" t="str">
        <x:v>Entity</x:v>
      </x:c>
      <x:c r="B139" s="12" t="str">
        <x:v>BMI / Enroll Prime</x:v>
      </x:c>
      <x:c r="C139" s="12" t="str">
        <x:v>Vault / ACUSA</x:v>
      </x:c>
      <x:c r="D139" s="12" t="str">
        <x:v>Vault / ACUSA</x:v>
      </x:c>
      <x:c r="E139" s="12" t="str">
        <x:v>Vault / ACUSA</x:v>
      </x:c>
    </x:row>
    <x:row r="140" ht="64" customHeight="1">
      <x:c r="A140" s="13" t="str">
        <x:v>Plan structure</x:v>
      </x:c>
      <x:c r="B140" s="13" t="str">
        <x:v>PPO / scheduled limited benefits</x:v>
      </x:c>
      <x:c r="C140" s="13" t="str">
        <x:v>PPO / scheduled limited benefits</x:v>
      </x:c>
      <x:c r="D140" s="13" t="str">
        <x:v>PPO / scheduled limited benefits</x:v>
      </x:c>
      <x:c r="E140" s="13" t="str">
        <x:v>PPO / scheduled limited benefits</x:v>
      </x:c>
    </x:row>
    <x:row r="141" ht="64" customHeight="1">
      <x:c r="A141" s="12" t="str">
        <x:v>Network</x:v>
      </x:c>
      <x:c r="B141" s="12" t="str">
        <x:v>PHCS per BMI brochure; Extended PPO per lookup guide, exact access unverified</x:v>
      </x:c>
      <x:c r="C141" s="12" t="str">
        <x:v>Unidentified for Elite Health USA (proposal only)</x:v>
      </x:c>
      <x:c r="D141" s="12" t="str">
        <x:v>First Health primary; MultiPlan secondary; facilities reference priced</x:v>
      </x:c>
      <x:c r="E141" s="12" t="str">
        <x:v>PHCS Practitioner &amp; Ancillary; hospitals reference priced, outside provider network</x:v>
      </x:c>
    </x:row>
    <x:row r="142" ht="40" customHeight="1">
      <x:c r="A142" s="13" t="str">
        <x:v>INN individual deductible</x:v>
      </x:c>
      <x:c r="B142" s="14" t="n">
        <x:v>2500</x:v>
      </x:c>
      <x:c r="C142" s="14" t="n">
        <x:v>2500</x:v>
      </x:c>
      <x:c r="D142" s="14" t="n">
        <x:v>1000</x:v>
      </x:c>
      <x:c r="E142" s="14" t="n">
        <x:v>0</x:v>
      </x:c>
    </x:row>
    <x:row r="143" ht="40" customHeight="1">
      <x:c r="A143" s="12" t="str">
        <x:v>INN family deductible</x:v>
      </x:c>
      <x:c r="B143" s="15" t="n">
        <x:v>5000</x:v>
      </x:c>
      <x:c r="C143" s="15" t="n">
        <x:v>5000</x:v>
      </x:c>
      <x:c r="D143" s="15" t="n">
        <x:v>2000</x:v>
      </x:c>
      <x:c r="E143" s="12" t="str">
        <x:v>Not stated</x:v>
      </x:c>
    </x:row>
    <x:row r="144" ht="40" customHeight="1">
      <x:c r="A144" s="13" t="str">
        <x:v>OON individual deductible</x:v>
      </x:c>
      <x:c r="B144" s="13" t="str">
        <x:v>Not covered or not stated</x:v>
      </x:c>
      <x:c r="C144" s="13" t="str">
        <x:v>Not covered or not stated</x:v>
      </x:c>
      <x:c r="D144" s="13" t="str">
        <x:v>Not covered or not stated</x:v>
      </x:c>
      <x:c r="E144" s="13" t="str">
        <x:v>Not covered or not stated</x:v>
      </x:c>
    </x:row>
    <x:row r="145" ht="40" customHeight="1">
      <x:c r="A145" s="12" t="str">
        <x:v>OON family deductible</x:v>
      </x:c>
      <x:c r="B145" s="12" t="str">
        <x:v>Not covered or not stated</x:v>
      </x:c>
      <x:c r="C145" s="12" t="str">
        <x:v>Not covered or not stated</x:v>
      </x:c>
      <x:c r="D145" s="12" t="str">
        <x:v>Not covered or not stated</x:v>
      </x:c>
      <x:c r="E145" s="12" t="str">
        <x:v>Not covered or not stated</x:v>
      </x:c>
    </x:row>
    <x:row r="146" ht="40" customHeight="1">
      <x:c r="A146" s="13" t="str">
        <x:v>INN member coinsurance</x:v>
      </x:c>
      <x:c r="B146" s="16" t="n">
        <x:v>0.5</x:v>
      </x:c>
      <x:c r="C146" s="13" t="str">
        <x:v>Varies</x:v>
      </x:c>
      <x:c r="D146" s="13" t="str">
        <x:v>Varies</x:v>
      </x:c>
      <x:c r="E146" s="13" t="str">
        <x:v>50% on facility/inpatient</x:v>
      </x:c>
    </x:row>
    <x:row r="147" ht="64" customHeight="1">
      <x:c r="A147" s="12" t="str">
        <x:v>OON member coinsurance</x:v>
      </x:c>
      <x:c r="B147" s="12" t="str">
        <x:v>Not covered / no contracted facility rate</x:v>
      </x:c>
      <x:c r="C147" s="12" t="str">
        <x:v>Not covered / no contracted facility rate</x:v>
      </x:c>
      <x:c r="D147" s="12" t="str">
        <x:v>Not covered / no contracted facility rate</x:v>
      </x:c>
      <x:c r="E147" s="12" t="str">
        <x:v>Not covered / no contracted facility rate</x:v>
      </x:c>
    </x:row>
    <x:row r="148" ht="40" customHeight="1">
      <x:c r="A148" s="13" t="str">
        <x:v>INN individual OOP limit</x:v>
      </x:c>
      <x:c r="B148" s="14" t="n">
        <x:v>9200</x:v>
      </x:c>
      <x:c r="C148" s="13" t="str">
        <x:v>No stated limit</x:v>
      </x:c>
      <x:c r="D148" s="13" t="str">
        <x:v>No stated limit</x:v>
      </x:c>
      <x:c r="E148" s="14" t="n">
        <x:v>10500</x:v>
      </x:c>
    </x:row>
    <x:row r="149" ht="40" customHeight="1">
      <x:c r="A149" s="12" t="str">
        <x:v>INN family OOP limit</x:v>
      </x:c>
      <x:c r="B149" s="15" t="n">
        <x:v>18400</x:v>
      </x:c>
      <x:c r="C149" s="12" t="str">
        <x:v>Not stated</x:v>
      </x:c>
      <x:c r="D149" s="12" t="str">
        <x:v>Not stated</x:v>
      </x:c>
      <x:c r="E149" s="15" t="n">
        <x:v>21000</x:v>
      </x:c>
    </x:row>
    <x:row r="150" ht="40" customHeight="1">
      <x:c r="A150" s="13" t="str">
        <x:v>OON individual OOP limit</x:v>
      </x:c>
      <x:c r="B150" s="13" t="str">
        <x:v>Not covered or not stated</x:v>
      </x:c>
      <x:c r="C150" s="13" t="str">
        <x:v>Not covered or not stated</x:v>
      </x:c>
      <x:c r="D150" s="13" t="str">
        <x:v>Not covered or not stated</x:v>
      </x:c>
      <x:c r="E150" s="13" t="str">
        <x:v>Not covered or not stated</x:v>
      </x:c>
    </x:row>
    <x:row r="151" ht="40" customHeight="1">
      <x:c r="A151" s="12" t="str">
        <x:v>OON family OOP limit</x:v>
      </x:c>
      <x:c r="B151" s="12" t="str">
        <x:v>Not covered or not stated</x:v>
      </x:c>
      <x:c r="C151" s="12" t="str">
        <x:v>Not covered or not stated</x:v>
      </x:c>
      <x:c r="D151" s="12" t="str">
        <x:v>Not covered or not stated</x:v>
      </x:c>
      <x:c r="E151" s="12" t="str">
        <x:v>Not covered or not stated</x:v>
      </x:c>
    </x:row>
    <x:row r="152" ht="112" customHeight="1">
      <x:c r="A152" s="13" t="str">
        <x:v>Gap benefit</x:v>
      </x:c>
      <x:c r="B152" s="13" t="str">
        <x:v>Not applicable</x:v>
      </x:c>
      <x:c r="C152" s="13" t="str">
        <x:v>Not applicable</x:v>
      </x:c>
      <x:c r="D152" s="13" t="str">
        <x:v>Not applicable</x:v>
      </x:c>
      <x:c r="E152" s="13" t="str">
        <x:v>Not applicable</x:v>
      </x:c>
    </x:row>
    <x:row r="153" ht="64" customHeight="1">
      <x:c r="A153" s="12" t="str">
        <x:v>Primary care</x:v>
      </x:c>
      <x:c r="B153" s="12" t="str">
        <x:v>$25 (4/yr combined)</x:v>
      </x:c>
      <x:c r="C153" s="12" t="str">
        <x:v>$50</x:v>
      </x:c>
      <x:c r="D153" s="12" t="str">
        <x:v>$35</x:v>
      </x:c>
      <x:c r="E153" s="12" t="str">
        <x:v>$25 (8/yr combined w/ specialist, OP MH, OP CD)</x:v>
      </x:c>
    </x:row>
    <x:row r="154" ht="64" customHeight="1">
      <x:c r="A154" s="13" t="str">
        <x:v>Specialist</x:v>
      </x:c>
      <x:c r="B154" s="13" t="str">
        <x:v>$50 (combined)</x:v>
      </x:c>
      <x:c r="C154" s="13" t="str">
        <x:v>$100</x:v>
      </x:c>
      <x:c r="D154" s="13" t="str">
        <x:v>$75</x:v>
      </x:c>
      <x:c r="E154" s="13" t="str">
        <x:v>$50 (combined)</x:v>
      </x:c>
    </x:row>
    <x:row r="155" ht="112" customHeight="1">
      <x:c r="A155" s="12" t="str">
        <x:v>Hospital</x:v>
      </x:c>
      <x:c r="B155" s="12" t="str">
        <x:v>Ded + 50%; 5 days, 1 surgery</x:v>
      </x:c>
      <x:c r="C155" s="12" t="str">
        <x:v>Room &amp; board ONLY: $500 + 50%, 3 days; physician/surgery not covered</x:v>
      </x:c>
      <x:c r="D155" s="12" t="str">
        <x:v>Room &amp; board ONLY: ded + $500 + 60%, 5 days/calendar yr combined incl. MH/SA/childbirth; physician/surgery NO benefit</x:v>
      </x:c>
      <x:c r="E155" s="12" t="str">
        <x:v>50% facility + physician; 5 days, 2 surgeries (each = 1 day) incl. MH/SA</x:v>
      </x:c>
    </x:row>
    <x:row r="156" ht="112" customHeight="1">
      <x:c r="A156" s="13" t="str">
        <x:v>Prescription drugs</x:v>
      </x:c>
      <x:c r="B156" s="13" t="str">
        <x:v>Same as 7500</x:v>
      </x:c>
      <x:c r="C156" s="13" t="str">
        <x:v>Tier 1 $0; Tiers 2-5 $15/$30/$60/over $60, monthly max</x:v>
      </x:c>
      <x:c r="D156" s="13" t="str">
        <x:v>Vault Rx Plus tiers; $250/mo individual, $500/mo family max</x:v>
      </x:c>
      <x:c r="E156" s="13" t="str">
        <x:v>Vault Rx Plus tiers; $250/$500 monthly max</x:v>
      </x:c>
    </x:row>
    <x:row r="157" ht="64" customHeight="1">
      <x:c r="A157" s="12" t="str">
        <x:v>Benefit maximum</x:v>
      </x:c>
      <x:c r="B157" s="12" t="str">
        <x:v>Service/day limits apply; see limits</x:v>
      </x:c>
      <x:c r="C157" s="12" t="str">
        <x:v>Service/day limits apply; see limits</x:v>
      </x:c>
      <x:c r="D157" s="12" t="str">
        <x:v>Service/day limits apply; see limits</x:v>
      </x:c>
      <x:c r="E157" s="12" t="str">
        <x:v>Service/day limits apply; see limits</x:v>
      </x:c>
    </x:row>
    <x:row r="158" ht="112" customHeight="1">
      <x:c r="A158" s="13" t="str">
        <x:v>Limits and unresolved terms</x:v>
      </x:c>
      <x:c r="B158" s="13" t="str">
        <x:v>Same as 7500; Chemo/radiation excluded; 8300 HSA is only $72/mo more with far better coverage.</x:v>
      </x:c>
      <x:c r="C158" s="13" t="str">
        <x:v>Proposal only; no final Elite Health USA schedule. SOB not reviewed; values from Vault MEC &amp; MVP proposal p.5; Not covered; Base Elite SOB not yet reviewed; Plus SOB contradicted its proposal.</x:v>
      </x:c>
      <x:c r="D158" s="13" t="str">
        <x:v>Precert over $2,500 or denial; balance billing if provider rejects 140% of Medicare; dangerous activity excl. incl. skiing; CANCER EXCLUDED (#11); no chemo/radiation; Doctor visits + generic Rx + 5-day room &amp; board. Not health insurance for individuals.</x:v>
      </x:c>
      <x:c r="E158" s="13" t="str">
        <x:v>Hospitals are reference priced at 140% of Medicare, with possible balance billing outside OOP maximum. Home health $25, 10 visits (contradicts excl. #42); chem dep covered (contradicts #14); ultrasound/bone density no benefit; precert over $2,500; CANCER EXCLUDED (#11); Balance-billing exposure on every hospital claim.</x:v>
      </x:c>
    </x:row>
    <x:row r="159" ht="64" customHeight="1">
      <x:c r="A159" s="12" t="str">
        <x:v>Source and pages</x:v>
      </x:c>
      <x:c r="B159" s="15" t="str">
        <x:v>S55; 1-5</x:v>
      </x:c>
      <x:c r="C159" s="15" t="str">
        <x:v>S57; 1-14</x:v>
      </x:c>
      <x:c r="D159" s="15" t="str">
        <x:v>S58; 1-14</x:v>
      </x:c>
      <x:c r="E159" s="15" t="str">
        <x:v>S59; 1-14</x:v>
      </x:c>
    </x:row>
    <x:row r="160" ht="25" customHeight="1">
      <x:c r="A160" s="2"/>
      <x:c r="B160" s="2"/>
      <x:c r="C160" s="2"/>
      <x:c r="D160" s="2"/>
      <x:c r="E160" s="2"/>
    </x:row>
    <x:row r="161" ht="25" customHeight="1">
      <x:c r="A161" s="2"/>
      <x:c r="B161" s="2"/>
      <x:c r="C161" s="2"/>
      <x:c r="D161" s="2"/>
      <x:c r="E161" s="2"/>
    </x:row>
    <x:row r="162" ht="25" customHeight="1">
      <x:c r="A162" s="2"/>
      <x:c r="B162" s="2"/>
      <x:c r="C162" s="2"/>
      <x:c r="D162" s="2"/>
      <x:c r="E162" s="2"/>
    </x:row>
    <x:row r="163" ht="25" customHeight="1">
      <x:c r="A163" s="2"/>
      <x:c r="B163" s="2"/>
      <x:c r="C163" s="2"/>
      <x:c r="D163" s="2"/>
      <x:c r="E163" s="2"/>
    </x:row>
    <x:row r="164" ht="45" customHeight="1">
      <x:c r="A164" s="8" t="str">
        <x:v>Measure</x:v>
      </x:c>
      <x:c r="B164" s="8" t="str">
        <x:v>Vault Silver 2</x:v>
      </x:c>
      <x:c r="C164" s="2"/>
      <x:c r="D164" s="2"/>
      <x:c r="E164" s="2"/>
    </x:row>
    <x:row r="165" ht="40" customHeight="1">
      <x:c r="A165" s="12" t="str">
        <x:v>Entity</x:v>
      </x:c>
      <x:c r="B165" s="12" t="str">
        <x:v>Vault / ACUSA</x:v>
      </x:c>
      <x:c r="C165" s="2"/>
      <x:c r="D165" s="2"/>
      <x:c r="E165" s="2"/>
    </x:row>
    <x:row r="166" ht="64" customHeight="1">
      <x:c r="A166" s="13" t="str">
        <x:v>Plan structure</x:v>
      </x:c>
      <x:c r="B166" s="13" t="str">
        <x:v>PPO / scheduled limited benefits</x:v>
      </x:c>
      <x:c r="C166" s="2"/>
      <x:c r="D166" s="2"/>
      <x:c r="E166" s="2"/>
    </x:row>
    <x:row r="167" ht="64" customHeight="1">
      <x:c r="A167" s="12" t="str">
        <x:v>Network</x:v>
      </x:c>
      <x:c r="B167" s="12" t="str">
        <x:v>PHCS Practitioner &amp; Ancillary; hospitals reference priced, outside provider network</x:v>
      </x:c>
      <x:c r="C167" s="2"/>
      <x:c r="D167" s="2"/>
      <x:c r="E167" s="2"/>
    </x:row>
    <x:row r="168" ht="40" customHeight="1">
      <x:c r="A168" s="13" t="str">
        <x:v>INN individual deductible</x:v>
      </x:c>
      <x:c r="B168" s="14" t="n">
        <x:v>0</x:v>
      </x:c>
      <x:c r="C168" s="2"/>
      <x:c r="D168" s="2"/>
      <x:c r="E168" s="2"/>
    </x:row>
    <x:row r="169" ht="40" customHeight="1">
      <x:c r="A169" s="12" t="str">
        <x:v>INN family deductible</x:v>
      </x:c>
      <x:c r="B169" s="12" t="str">
        <x:v>Not stated</x:v>
      </x:c>
      <x:c r="C169" s="2"/>
      <x:c r="D169" s="2"/>
      <x:c r="E169" s="2"/>
    </x:row>
    <x:row r="170" ht="40" customHeight="1">
      <x:c r="A170" s="13" t="str">
        <x:v>OON individual deductible</x:v>
      </x:c>
      <x:c r="B170" s="13" t="str">
        <x:v>Not covered or not stated</x:v>
      </x:c>
      <x:c r="C170" s="2"/>
      <x:c r="D170" s="2"/>
      <x:c r="E170" s="2"/>
    </x:row>
    <x:row r="171" ht="40" customHeight="1">
      <x:c r="A171" s="12" t="str">
        <x:v>OON family deductible</x:v>
      </x:c>
      <x:c r="B171" s="12" t="str">
        <x:v>Not covered or not stated</x:v>
      </x:c>
      <x:c r="C171" s="2"/>
      <x:c r="D171" s="2"/>
      <x:c r="E171" s="2"/>
    </x:row>
    <x:row r="172" ht="40" customHeight="1">
      <x:c r="A172" s="13" t="str">
        <x:v>INN member coinsurance</x:v>
      </x:c>
      <x:c r="B172" s="13" t="str">
        <x:v>50% on facility/inpatient</x:v>
      </x:c>
      <x:c r="C172" s="2"/>
      <x:c r="D172" s="2"/>
      <x:c r="E172" s="2"/>
    </x:row>
    <x:row r="173" ht="64" customHeight="1">
      <x:c r="A173" s="12" t="str">
        <x:v>OON member coinsurance</x:v>
      </x:c>
      <x:c r="B173" s="12" t="str">
        <x:v>Not covered / no contracted facility rate</x:v>
      </x:c>
      <x:c r="C173" s="2"/>
      <x:c r="D173" s="2"/>
      <x:c r="E173" s="2"/>
    </x:row>
    <x:row r="174" ht="40" customHeight="1">
      <x:c r="A174" s="13" t="str">
        <x:v>INN individual OOP limit</x:v>
      </x:c>
      <x:c r="B174" s="14" t="n">
        <x:v>10500</x:v>
      </x:c>
      <x:c r="C174" s="2"/>
      <x:c r="D174" s="2"/>
      <x:c r="E174" s="2"/>
    </x:row>
    <x:row r="175" ht="40" customHeight="1">
      <x:c r="A175" s="12" t="str">
        <x:v>INN family OOP limit</x:v>
      </x:c>
      <x:c r="B175" s="15" t="n">
        <x:v>21000</x:v>
      </x:c>
      <x:c r="C175" s="2"/>
      <x:c r="D175" s="2"/>
      <x:c r="E175" s="2"/>
    </x:row>
    <x:row r="176" ht="40" customHeight="1">
      <x:c r="A176" s="13" t="str">
        <x:v>OON individual OOP limit</x:v>
      </x:c>
      <x:c r="B176" s="13" t="str">
        <x:v>Not covered or not stated</x:v>
      </x:c>
      <x:c r="C176" s="2"/>
      <x:c r="D176" s="2"/>
      <x:c r="E176" s="2"/>
    </x:row>
    <x:row r="177" ht="40" customHeight="1">
      <x:c r="A177" s="12" t="str">
        <x:v>OON family OOP limit</x:v>
      </x:c>
      <x:c r="B177" s="12" t="str">
        <x:v>Not covered or not stated</x:v>
      </x:c>
      <x:c r="C177" s="2"/>
      <x:c r="D177" s="2"/>
      <x:c r="E177" s="2"/>
    </x:row>
    <x:row r="178" ht="112" customHeight="1">
      <x:c r="A178" s="13" t="str">
        <x:v>Gap benefit</x:v>
      </x:c>
      <x:c r="B178" s="13" t="str">
        <x:v>Not applicable</x:v>
      </x:c>
      <x:c r="C178" s="2"/>
      <x:c r="D178" s="2"/>
      <x:c r="E178" s="2"/>
    </x:row>
    <x:row r="179" ht="64" customHeight="1">
      <x:c r="A179" s="12" t="str">
        <x:v>Primary care</x:v>
      </x:c>
      <x:c r="B179" s="12" t="str">
        <x:v>$15 (10/yr, separate)</x:v>
      </x:c>
      <x:c r="C179" s="2"/>
      <x:c r="D179" s="2"/>
      <x:c r="E179" s="2"/>
    </x:row>
    <x:row r="180" ht="64" customHeight="1">
      <x:c r="A180" s="13" t="str">
        <x:v>Specialist</x:v>
      </x:c>
      <x:c r="B180" s="13" t="str">
        <x:v>$25 (10/yr, combined w/ OP MH/CD)</x:v>
      </x:c>
      <x:c r="C180" s="2"/>
      <x:c r="D180" s="2"/>
      <x:c r="E180" s="2"/>
    </x:row>
    <x:row r="181" ht="112" customHeight="1">
      <x:c r="A181" s="12" t="str">
        <x:v>Hospital</x:v>
      </x:c>
      <x:c r="B181" s="12" t="str">
        <x:v>50% facility + physician; 7 days, 3 surgeries</x:v>
      </x:c>
      <x:c r="C181" s="2"/>
      <x:c r="D181" s="2"/>
      <x:c r="E181" s="2"/>
    </x:row>
    <x:row r="182" ht="112" customHeight="1">
      <x:c r="A182" s="13" t="str">
        <x:v>Prescription drugs</x:v>
      </x:c>
      <x:c r="B182" s="13" t="str">
        <x:v>Vault Rx Plus; $250/$500 monthly max; specialty not covered</x:v>
      </x:c>
      <x:c r="C182" s="2"/>
      <x:c r="D182" s="2"/>
      <x:c r="E182" s="2"/>
    </x:row>
    <x:row r="183" ht="64" customHeight="1">
      <x:c r="A183" s="12" t="str">
        <x:v>Benefit maximum</x:v>
      </x:c>
      <x:c r="B183" s="12" t="str">
        <x:v>Service/day limits apply; see limits</x:v>
      </x:c>
      <x:c r="C183" s="2"/>
      <x:c r="D183" s="2"/>
      <x:c r="E183" s="2"/>
    </x:row>
    <x:row r="184" ht="112" customHeight="1">
      <x:c r="A184" s="13" t="str">
        <x:v>Limits and unresolved terms</x:v>
      </x:c>
      <x:c r="B184" s="13" t="str">
        <x:v>Hospitals are reference priced at 140% of Medicare, with possible balance billing outside OOP maximum. Home health $25, 10; rehab, SNF, DME, hospice not covered; CANCER EXCLUDED (#11); SBC coverage examples show plan paying only 16-32% (baby 26%, diabetes 16%, fracture 32%), inconsistent with MV claim.</x:v>
      </x:c>
      <x:c r="C184" s="2"/>
      <x:c r="D184" s="2"/>
      <x:c r="E184" s="2"/>
    </x:row>
    <x:row r="185" ht="64" customHeight="1">
      <x:c r="A185" s="12" t="str">
        <x:v>Source and pages</x:v>
      </x:c>
      <x:c r="B185" s="15" t="str">
        <x:v>S60; 1-14</x:v>
      </x:c>
      <x:c r="C185" s="2"/>
      <x:c r="D185" s="2"/>
      <x:c r="E185" s="2"/>
    </x:row>
    <x:row r="186" ht="25" customHeight="1">
      <x:c r="A186" s="2"/>
      <x:c r="B186" s="2"/>
      <x:c r="C186" s="2"/>
      <x:c r="D186" s="2"/>
      <x:c r="E186" s="2"/>
    </x:row>
    <x:row r="187" ht="25" customHeight="1">
      <x:c r="A187" s="2"/>
      <x:c r="B187" s="2"/>
      <x:c r="C187" s="2"/>
      <x:c r="D187" s="2"/>
      <x:c r="E187" s="2"/>
    </x:row>
    <x:row r="188" ht="25" customHeight="1">
      <x:c r="A188" s="2"/>
      <x:c r="B188" s="2"/>
      <x:c r="C188" s="2"/>
      <x:c r="D188" s="2"/>
      <x:c r="E188" s="2"/>
    </x:row>
    <x:row r="189" ht="25" customHeight="1">
      <x:c r="A189" s="2"/>
      <x:c r="B189" s="2"/>
      <x:c r="C189" s="2"/>
      <x:c r="D189" s="2"/>
      <x:c r="E189" s="2"/>
    </x:row>
    <x:row r="190" ht="25" customHeight="1">
      <x:c r="A190" s="2"/>
      <x:c r="B190" s="2"/>
      <x:c r="C190" s="2"/>
      <x:c r="D190" s="2"/>
      <x:c r="E190" s="2"/>
    </x:row>
    <x:row r="191" ht="25" customHeight="1">
      <x:c r="A191" s="2"/>
      <x:c r="B191" s="2"/>
      <x:c r="C191" s="2"/>
      <x:c r="D191" s="2"/>
      <x:c r="E191" s="2"/>
    </x:row>
    <x:row r="192" ht="25" customHeight="1">
      <x:c r="A192" s="2"/>
      <x:c r="B192" s="2"/>
      <x:c r="C192" s="2"/>
      <x:c r="D192" s="2"/>
      <x:c r="E192" s="2"/>
    </x:row>
    <x:row r="193" ht="25" customHeight="1">
      <x:c r="A193" s="2"/>
      <x:c r="B193" s="2"/>
      <x:c r="C193" s="2"/>
      <x:c r="D193" s="2"/>
      <x:c r="E193" s="2"/>
    </x:row>
    <x:row r="194" ht="25" customHeight="1">
      <x:c r="A194" s="2"/>
      <x:c r="B194" s="2"/>
      <x:c r="C194" s="2"/>
      <x:c r="D194" s="2"/>
      <x:c r="E194" s="2"/>
    </x:row>
    <x:row r="195" ht="25" customHeight="1">
      <x:c r="A195" s="2"/>
      <x:c r="B195" s="2"/>
      <x:c r="C195" s="2"/>
      <x:c r="D195" s="2"/>
      <x:c r="E195" s="2"/>
    </x:row>
    <x:row r="196" ht="25" customHeight="1">
      <x:c r="A196" s="2"/>
      <x:c r="B196" s="2"/>
      <x:c r="C196" s="2"/>
      <x:c r="D196" s="2"/>
      <x:c r="E196" s="2"/>
    </x:row>
    <x:row r="197" ht="25" customHeight="1">
      <x:c r="A197" s="2"/>
      <x:c r="B197" s="2"/>
      <x:c r="C197" s="2"/>
      <x:c r="D197" s="2"/>
      <x:c r="E197" s="2"/>
    </x:row>
    <x:row r="198" ht="25" customHeight="1">
      <x:c r="A198" s="2"/>
      <x:c r="B198" s="2"/>
      <x:c r="C198" s="2"/>
      <x:c r="D198" s="2"/>
      <x:c r="E198" s="2"/>
    </x:row>
    <x:row r="199" ht="25" customHeight="1">
      <x:c r="A199" s="2"/>
      <x:c r="B199" s="2"/>
      <x:c r="C199" s="2"/>
      <x:c r="D199" s="2"/>
      <x:c r="E199" s="2"/>
    </x:row>
    <x:row r="200" ht="25" customHeight="1">
      <x:c r="A200" s="2"/>
      <x:c r="B200" s="2"/>
      <x:c r="C200" s="2"/>
      <x:c r="D200" s="2"/>
      <x:c r="E200" s="2"/>
    </x:row>
    <x:row r="201" ht="25" customHeight="1">
      <x:c r="A201" s="2"/>
      <x:c r="B201" s="2"/>
      <x:c r="C201" s="2"/>
      <x:c r="D201" s="2"/>
      <x:c r="E201" s="2"/>
    </x:row>
    <x:row r="202" ht="25" customHeight="1">
      <x:c r="A202" s="2"/>
      <x:c r="B202" s="2"/>
      <x:c r="C202" s="2"/>
      <x:c r="D202" s="2"/>
      <x:c r="E202" s="2"/>
    </x:row>
    <x:row r="203" ht="25" customHeight="1">
      <x:c r="A203" s="2"/>
      <x:c r="B203" s="2"/>
      <x:c r="C203" s="2"/>
      <x:c r="D203" s="2"/>
      <x:c r="E203" s="2"/>
    </x:row>
    <x:row r="204" ht="25" customHeight="1">
      <x:c r="A204" s="2"/>
      <x:c r="B204" s="2"/>
      <x:c r="C204" s="2"/>
      <x:c r="D204" s="2"/>
      <x:c r="E204" s="2"/>
    </x:row>
    <x:row r="205" ht="25" customHeight="1">
      <x:c r="A205" s="2"/>
      <x:c r="B205" s="2"/>
      <x:c r="C205" s="2"/>
      <x:c r="D205" s="2"/>
      <x:c r="E205" s="2"/>
    </x:row>
    <x:row r="206" ht="25" customHeight="1">
      <x:c r="A206" s="2"/>
      <x:c r="B206" s="2"/>
      <x:c r="C206" s="2"/>
      <x:c r="D206" s="2"/>
      <x:c r="E206" s="2"/>
    </x:row>
    <x:row r="207" ht="25" customHeight="1">
      <x:c r="A207" s="2"/>
      <x:c r="B207" s="2"/>
      <x:c r="C207" s="2"/>
      <x:c r="D207" s="2"/>
      <x:c r="E207" s="2"/>
    </x:row>
    <x:row r="208" ht="25" customHeight="1">
      <x:c r="A208" s="2"/>
      <x:c r="B208" s="2"/>
      <x:c r="C208" s="2"/>
      <x:c r="D208" s="2"/>
      <x:c r="E208" s="2"/>
    </x:row>
    <x:row r="209" ht="25" customHeight="1">
      <x:c r="A209" s="2"/>
      <x:c r="B209" s="2"/>
      <x:c r="C209" s="2"/>
      <x:c r="D209" s="2"/>
      <x:c r="E209" s="2"/>
    </x:row>
    <x:row r="210" ht="25" customHeight="1">
      <x:c r="A210" s="2"/>
      <x:c r="B210" s="2"/>
      <x:c r="C210" s="2"/>
      <x:c r="D210" s="2"/>
      <x:c r="E210" s="2"/>
    </x:row>
    <x:row r="211" ht="25" customHeight="1">
      <x:c r="A211" s="2"/>
      <x:c r="B211" s="2"/>
      <x:c r="C211" s="2"/>
      <x:c r="D211" s="2"/>
      <x:c r="E211" s="2"/>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 hidden="0" customWidth="1"/>
    <x:col min="2" max="2" width="42" hidden="0" customWidth="1"/>
    <x:col min="3" max="3" width="42" hidden="0" customWidth="1"/>
    <x:col min="4" max="4" width="42" hidden="0" customWidth="1"/>
    <x:col min="5" max="5" width="42" hidden="0" customWidth="1"/>
  </x:cols>
  <x:sheetData>
    <x:row r="1" ht="25" customHeight="1">
      <x:c r="A1" s="2"/>
      <x:c r="B1" s="2"/>
      <x:c r="C1" s="2"/>
      <x:c r="D1" s="2"/>
      <x:c r="E1" s="2"/>
    </x:row>
    <x:row r="2" ht="30" customHeight="1">
      <x:c r="A2" s="3" t="str">
        <x:v>MEC / preventive side by side</x:v>
      </x:c>
      <x:c r="B2" s="2"/>
      <x:c r="C2" s="2"/>
      <x:c r="D2" s="2"/>
      <x:c r="E2" s="2"/>
    </x:row>
    <x:row r="3" ht="25" customHeight="1">
      <x:c r="A3" s="2"/>
      <x:c r="B3" s="2"/>
      <x:c r="C3" s="2"/>
      <x:c r="D3" s="2"/>
      <x:c r="E3" s="2"/>
    </x:row>
    <x:row r="4" ht="25" customHeight="1">
      <x:c r="A4" s="4" t="str">
        <x:v>INN = in network; OON = out of network; OOP = out of pocket. Coinsurance is the MEMBER share.</x:v>
      </x:c>
      <x:c r="B4" s="2"/>
      <x:c r="C4" s="2"/>
      <x:c r="D4" s="2"/>
      <x:c r="E4" s="2"/>
    </x:row>
    <x:row r="5" ht="25" customHeight="1">
      <x:c r="A5" s="4" t="str">
        <x:v>Unknown is not zero. Benefit caps, exclusions and balance bills may leave costs above the stated OOP limit.</x:v>
      </x:c>
      <x:c r="B5" s="2"/>
      <x:c r="C5" s="2"/>
      <x:c r="D5" s="2"/>
      <x:c r="E5" s="2"/>
    </x:row>
    <x:row r="6" ht="25" customHeight="1">
      <x:c r="A6" s="2"/>
      <x:c r="B6" s="2"/>
      <x:c r="C6" s="2"/>
      <x:c r="D6" s="2"/>
      <x:c r="E6" s="2"/>
    </x:row>
    <x:row r="7" ht="25" customHeight="1">
      <x:c r="A7" s="2"/>
      <x:c r="B7" s="2"/>
      <x:c r="C7" s="2"/>
      <x:c r="D7" s="2"/>
      <x:c r="E7" s="2"/>
    </x:row>
    <x:row r="8" ht="45" customHeight="1">
      <x:c r="A8" s="8" t="str">
        <x:v>Measure</x:v>
      </x:c>
      <x:c r="B8" s="8" t="str">
        <x:v>BMI MEC Classic</x:v>
      </x:c>
      <x:c r="C8" s="8" t="str">
        <x:v>BMI MEC Choice</x:v>
      </x:c>
      <x:c r="D8" s="2"/>
      <x:c r="E8" s="2"/>
    </x:row>
    <x:row r="9" ht="40" customHeight="1">
      <x:c r="A9" s="12" t="str">
        <x:v>Entity</x:v>
      </x:c>
      <x:c r="B9" s="12" t="str">
        <x:v>BMI / Enroll Prime</x:v>
      </x:c>
      <x:c r="C9" s="12" t="str">
        <x:v>BMI / Enroll Prime</x:v>
      </x:c>
      <x:c r="D9" s="2"/>
      <x:c r="E9" s="2"/>
    </x:row>
    <x:row r="10" ht="64" customHeight="1">
      <x:c r="A10" s="13" t="str">
        <x:v>Plan structure</x:v>
      </x:c>
      <x:c r="B10" s="13" t="str">
        <x:v>PPO / scheduled limited benefits</x:v>
      </x:c>
      <x:c r="C10" s="13" t="str">
        <x:v>PPO / scheduled limited benefits</x:v>
      </x:c>
      <x:c r="D10" s="2"/>
      <x:c r="E10" s="2"/>
    </x:row>
    <x:row r="11" ht="64" customHeight="1">
      <x:c r="A11" s="12" t="str">
        <x:v>Network</x:v>
      </x:c>
      <x:c r="B11" s="12" t="str">
        <x:v>PHCS per BMI brochure; Extended PPO per lookup guide, exact access unverified</x:v>
      </x:c>
      <x:c r="C11" s="12" t="str">
        <x:v>PHCS per BMI brochure; Extended PPO per lookup guide, exact access unverified</x:v>
      </x:c>
      <x:c r="D11" s="2"/>
      <x:c r="E11" s="2"/>
    </x:row>
    <x:row r="12" ht="40" customHeight="1">
      <x:c r="A12" s="13" t="str">
        <x:v>INN individual deductible</x:v>
      </x:c>
      <x:c r="B12" s="14" t="n">
        <x:v>0</x:v>
      </x:c>
      <x:c r="C12" s="14" t="n">
        <x:v>0</x:v>
      </x:c>
      <x:c r="D12" s="2"/>
      <x:c r="E12" s="2"/>
    </x:row>
    <x:row r="13" ht="40" customHeight="1">
      <x:c r="A13" s="12" t="str">
        <x:v>INN family deductible</x:v>
      </x:c>
      <x:c r="B13" s="12" t="str">
        <x:v>Not stated</x:v>
      </x:c>
      <x:c r="C13" s="12" t="str">
        <x:v>Not stated</x:v>
      </x:c>
      <x:c r="D13" s="2"/>
      <x:c r="E13" s="2"/>
    </x:row>
    <x:row r="14" ht="40" customHeight="1">
      <x:c r="A14" s="13" t="str">
        <x:v>OON individual deductible</x:v>
      </x:c>
      <x:c r="B14" s="13" t="str">
        <x:v>Not covered or not stated</x:v>
      </x:c>
      <x:c r="C14" s="13" t="str">
        <x:v>Not covered or not stated</x:v>
      </x:c>
      <x:c r="D14" s="2"/>
      <x:c r="E14" s="2"/>
    </x:row>
    <x:row r="15" ht="40" customHeight="1">
      <x:c r="A15" s="12" t="str">
        <x:v>OON family deductible</x:v>
      </x:c>
      <x:c r="B15" s="12" t="str">
        <x:v>Not covered or not stated</x:v>
      </x:c>
      <x:c r="C15" s="12" t="str">
        <x:v>Not covered or not stated</x:v>
      </x:c>
      <x:c r="D15" s="2"/>
      <x:c r="E15" s="2"/>
    </x:row>
    <x:row r="16" ht="40" customHeight="1">
      <x:c r="A16" s="13" t="str">
        <x:v>INN member coinsurance</x:v>
      </x:c>
      <x:c r="B16" s="13" t="str">
        <x:v>N/A</x:v>
      </x:c>
      <x:c r="C16" s="13" t="str">
        <x:v>Copays</x:v>
      </x:c>
      <x:c r="D16" s="2"/>
      <x:c r="E16" s="2"/>
    </x:row>
    <x:row r="17" ht="64" customHeight="1">
      <x:c r="A17" s="12" t="str">
        <x:v>OON member coinsurance</x:v>
      </x:c>
      <x:c r="B17" s="12" t="str">
        <x:v>Not covered / no contracted facility rate</x:v>
      </x:c>
      <x:c r="C17" s="12" t="str">
        <x:v>Not covered / no contracted facility rate</x:v>
      </x:c>
      <x:c r="D17" s="2"/>
      <x:c r="E17" s="2"/>
    </x:row>
    <x:row r="18" ht="40" customHeight="1">
      <x:c r="A18" s="13" t="str">
        <x:v>INN individual OOP limit</x:v>
      </x:c>
      <x:c r="B18" s="13" t="str">
        <x:v>No stated limit</x:v>
      </x:c>
      <x:c r="C18" s="14" t="n">
        <x:v>8700</x:v>
      </x:c>
      <x:c r="D18" s="2"/>
      <x:c r="E18" s="2"/>
    </x:row>
    <x:row r="19" ht="40" customHeight="1">
      <x:c r="A19" s="12" t="str">
        <x:v>INN family OOP limit</x:v>
      </x:c>
      <x:c r="B19" s="12" t="str">
        <x:v>Not stated</x:v>
      </x:c>
      <x:c r="C19" s="15" t="n">
        <x:v>17400</x:v>
      </x:c>
      <x:c r="D19" s="2"/>
      <x:c r="E19" s="2"/>
    </x:row>
    <x:row r="20" ht="40" customHeight="1">
      <x:c r="A20" s="13" t="str">
        <x:v>OON individual OOP limit</x:v>
      </x:c>
      <x:c r="B20" s="13" t="str">
        <x:v>Not covered or not stated</x:v>
      </x:c>
      <x:c r="C20" s="13" t="str">
        <x:v>Not covered or not stated</x:v>
      </x:c>
      <x:c r="D20" s="2"/>
      <x:c r="E20" s="2"/>
    </x:row>
    <x:row r="21" ht="40" customHeight="1">
      <x:c r="A21" s="12" t="str">
        <x:v>OON family OOP limit</x:v>
      </x:c>
      <x:c r="B21" s="12" t="str">
        <x:v>Not covered or not stated</x:v>
      </x:c>
      <x:c r="C21" s="12" t="str">
        <x:v>Not covered or not stated</x:v>
      </x:c>
      <x:c r="D21" s="2"/>
      <x:c r="E21" s="2"/>
    </x:row>
    <x:row r="22" ht="112" customHeight="1">
      <x:c r="A22" s="13" t="str">
        <x:v>Gap benefit</x:v>
      </x:c>
      <x:c r="B22" s="13" t="str">
        <x:v>Not applicable</x:v>
      </x:c>
      <x:c r="C22" s="13" t="str">
        <x:v>Not applicable</x:v>
      </x:c>
      <x:c r="D22" s="2"/>
      <x:c r="E22" s="2"/>
    </x:row>
    <x:row r="23" ht="64" customHeight="1">
      <x:c r="A23" s="12" t="str">
        <x:v>Primary care</x:v>
      </x:c>
      <x:c r="B23" s="12" t="str">
        <x:v>Not covered</x:v>
      </x:c>
      <x:c r="C23" s="12" t="str">
        <x:v>$35</x:v>
      </x:c>
      <x:c r="D23" s="2"/>
      <x:c r="E23" s="2"/>
    </x:row>
    <x:row r="24" ht="64" customHeight="1">
      <x:c r="A24" s="13" t="str">
        <x:v>Specialist</x:v>
      </x:c>
      <x:c r="B24" s="13" t="str">
        <x:v>Not covered</x:v>
      </x:c>
      <x:c r="C24" s="13" t="str">
        <x:v>$75</x:v>
      </x:c>
      <x:c r="D24" s="2"/>
      <x:c r="E24" s="2"/>
    </x:row>
    <x:row r="25" ht="112" customHeight="1">
      <x:c r="A25" s="12" t="str">
        <x:v>Hospital</x:v>
      </x:c>
      <x:c r="B25" s="12" t="str">
        <x:v>Not covered</x:v>
      </x:c>
      <x:c r="C25" s="12" t="str">
        <x:v>Not covered</x:v>
      </x:c>
      <x:c r="D25" s="2"/>
      <x:c r="E25" s="2"/>
    </x:row>
    <x:row r="26" ht="112" customHeight="1">
      <x:c r="A26" s="13" t="str">
        <x:v>Prescription drugs</x:v>
      </x:c>
      <x:c r="B26" s="13" t="str">
        <x:v>$0 preventive generic only</x:v>
      </x:c>
      <x:c r="C26" s="13" t="str">
        <x:v>$0 preventive generic; $5 generic</x:v>
      </x:c>
      <x:c r="D26" s="2"/>
      <x:c r="E26" s="2"/>
    </x:row>
    <x:row r="27" ht="64" customHeight="1">
      <x:c r="A27" s="12" t="str">
        <x:v>Benefit maximum</x:v>
      </x:c>
      <x:c r="B27" s="12" t="str">
        <x:v>Preventive/MEC scope; no comprehensive medical maximum</x:v>
      </x:c>
      <x:c r="C27" s="12" t="str">
        <x:v>Preventive/MEC scope; no comprehensive medical maximum</x:v>
      </x:c>
      <x:c r="D27" s="2"/>
      <x:c r="E27" s="2"/>
    </x:row>
    <x:row r="28" ht="112" customHeight="1">
      <x:c r="A28" s="13" t="str">
        <x:v>Limits and unresolved terms</x:v>
      </x:c>
      <x:c r="B28" s="13" t="str">
        <x:v>MEC product: Preventive + telemed only; Not covered</x:v>
      </x:c>
      <x:c r="C28" s="13" t="str">
        <x:v>MEC product: No hospital, surgery, or ER coverage; Not covered</x:v>
      </x:c>
      <x:c r="D28" s="2"/>
      <x:c r="E28" s="2"/>
    </x:row>
    <x:row r="29" ht="64" customHeight="1">
      <x:c r="A29" s="12" t="str">
        <x:v>Source and pages</x:v>
      </x:c>
      <x:c r="B29" s="15" t="str">
        <x:v>S56; 1-5</x:v>
      </x:c>
      <x:c r="C29" s="15" t="str">
        <x:v>S56; 1-5</x:v>
      </x:c>
      <x:c r="D29" s="2"/>
      <x:c r="E29" s="2"/>
    </x:row>
    <x:row r="30" ht="25" customHeight="1">
      <x:c r="A30" s="2"/>
      <x:c r="B30" s="2"/>
      <x:c r="C30" s="2"/>
      <x:c r="D30" s="2"/>
      <x:c r="E30" s="2"/>
    </x:row>
    <x:row r="31" ht="25" customHeight="1">
      <x:c r="A31" s="2"/>
      <x:c r="B31" s="2"/>
      <x:c r="C31" s="2"/>
      <x:c r="D31" s="2"/>
      <x:c r="E31" s="2"/>
    </x:row>
    <x:row r="32" ht="25" customHeight="1">
      <x:c r="A32" s="2"/>
      <x:c r="B32" s="2"/>
      <x:c r="C32" s="2"/>
      <x:c r="D32" s="2"/>
      <x:c r="E32" s="2"/>
    </x:row>
    <x:row r="33" ht="25" customHeight="1">
      <x:c r="A33" s="2"/>
      <x:c r="B33" s="2"/>
      <x:c r="C33" s="2"/>
      <x:c r="D33" s="2"/>
      <x:c r="E33" s="2"/>
    </x:row>
    <x:row r="34" ht="25" customHeight="1">
      <x:c r="A34" s="2"/>
      <x:c r="B34" s="2"/>
      <x:c r="C34" s="2"/>
      <x:c r="D34" s="2"/>
      <x:c r="E34" s="2"/>
    </x:row>
    <x:row r="35" ht="25" customHeight="1">
      <x:c r="A35" s="2"/>
      <x:c r="B35" s="2"/>
      <x:c r="C35" s="2"/>
      <x:c r="D35" s="2"/>
      <x:c r="E35" s="2"/>
    </x:row>
    <x:row r="36" ht="25" customHeight="1">
      <x:c r="A36" s="2"/>
      <x:c r="B36" s="2"/>
      <x:c r="C36" s="2"/>
      <x:c r="D36" s="2"/>
      <x:c r="E36" s="2"/>
    </x:row>
    <x:row r="37" ht="25" customHeight="1">
      <x:c r="A37" s="2"/>
      <x:c r="B37" s="2"/>
      <x:c r="C37" s="2"/>
      <x:c r="D37" s="2"/>
      <x:c r="E37" s="2"/>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 hidden="0" customWidth="1"/>
    <x:col min="2" max="2" width="42" hidden="0" customWidth="1"/>
    <x:col min="3" max="3" width="42" hidden="0" customWidth="1"/>
    <x:col min="4" max="4" width="42" hidden="0" customWidth="1"/>
    <x:col min="5" max="5" width="42" hidden="0" customWidth="1"/>
  </x:cols>
  <x:sheetData>
    <x:row r="1" ht="25" customHeight="1">
      <x:c r="A1" s="2"/>
      <x:c r="B1" s="2"/>
      <x:c r="C1" s="2"/>
      <x:c r="D1" s="2"/>
      <x:c r="E1" s="2"/>
    </x:row>
    <x:row r="2" ht="30" customHeight="1">
      <x:c r="A2" s="3" t="str">
        <x:v>Fixed indemnity side by side</x:v>
      </x:c>
      <x:c r="B2" s="2"/>
      <x:c r="C2" s="2"/>
      <x:c r="D2" s="2"/>
      <x:c r="E2" s="2"/>
    </x:row>
    <x:row r="3" ht="25" customHeight="1">
      <x:c r="A3" s="2"/>
      <x:c r="B3" s="2"/>
      <x:c r="C3" s="2"/>
      <x:c r="D3" s="2"/>
      <x:c r="E3" s="2"/>
    </x:row>
    <x:row r="4" ht="25" customHeight="1">
      <x:c r="A4" s="4" t="str">
        <x:v>INN = in network; OON = out of network; OOP = out of pocket. Coinsurance is the MEMBER share.</x:v>
      </x:c>
      <x:c r="B4" s="2"/>
      <x:c r="C4" s="2"/>
      <x:c r="D4" s="2"/>
      <x:c r="E4" s="2"/>
    </x:row>
    <x:row r="5" ht="25" customHeight="1">
      <x:c r="A5" s="4" t="str">
        <x:v>Unknown is not zero. Benefit caps, exclusions and balance bills may leave costs above the stated OOP limit.</x:v>
      </x:c>
      <x:c r="B5" s="2"/>
      <x:c r="C5" s="2"/>
      <x:c r="D5" s="2"/>
      <x:c r="E5" s="2"/>
    </x:row>
    <x:row r="6" ht="25" customHeight="1">
      <x:c r="A6" s="2"/>
      <x:c r="B6" s="2"/>
      <x:c r="C6" s="2"/>
      <x:c r="D6" s="2"/>
      <x:c r="E6" s="2"/>
    </x:row>
    <x:row r="7" ht="25" customHeight="1">
      <x:c r="A7" s="2"/>
      <x:c r="B7" s="2"/>
      <x:c r="C7" s="2"/>
      <x:c r="D7" s="2"/>
      <x:c r="E7" s="2"/>
    </x:row>
    <x:row r="8" ht="45" customHeight="1">
      <x:c r="A8" s="8" t="str">
        <x:v>Measure</x:v>
      </x:c>
      <x:c r="B8" s="8" t="str">
        <x:v>Bloom Plan 1</x:v>
      </x:c>
      <x:c r="C8" s="8" t="str">
        <x:v>Bloom Plan 2</x:v>
      </x:c>
      <x:c r="D8" s="8" t="str">
        <x:v>Bloom Plan 3</x:v>
      </x:c>
      <x:c r="E8" s="8" t="str">
        <x:v>Bloom Plan 4</x:v>
      </x:c>
    </x:row>
    <x:row r="9" ht="40" customHeight="1">
      <x:c r="A9" s="12" t="str">
        <x:v>Entity</x:v>
      </x:c>
      <x:c r="B9" s="12" t="str">
        <x:v>Lucida</x:v>
      </x:c>
      <x:c r="C9" s="12" t="str">
        <x:v>Lucida</x:v>
      </x:c>
      <x:c r="D9" s="12" t="str">
        <x:v>Lucida</x:v>
      </x:c>
      <x:c r="E9" s="12" t="str">
        <x:v>Lucida</x:v>
      </x:c>
    </x:row>
    <x:row r="10" ht="64" customHeight="1">
      <x:c r="A10" s="13" t="str">
        <x:v>Plan structure</x:v>
      </x:c>
      <x:c r="B10" s="13" t="str">
        <x:v>Supplemental fixed indemnity</x:v>
      </x:c>
      <x:c r="C10" s="13" t="str">
        <x:v>Supplemental fixed indemnity</x:v>
      </x:c>
      <x:c r="D10" s="13" t="str">
        <x:v>Supplemental fixed indemnity</x:v>
      </x:c>
      <x:c r="E10" s="13" t="str">
        <x:v>Supplemental fixed indemnity</x:v>
      </x:c>
    </x:row>
    <x:row r="11" ht="64" customHeight="1">
      <x:c r="A11" s="12" t="str">
        <x:v>Network</x:v>
      </x:c>
      <x:c r="B11" s="12" t="str">
        <x:v>Fixed indemnity; no medical network identified</x:v>
      </x:c>
      <x:c r="C11" s="12" t="str">
        <x:v>Fixed indemnity; no medical network identified</x:v>
      </x:c>
      <x:c r="D11" s="12" t="str">
        <x:v>Fixed indemnity; no medical network identified</x:v>
      </x:c>
      <x:c r="E11" s="12" t="str">
        <x:v>Fixed indemnity; no medical network identified</x:v>
      </x:c>
    </x:row>
    <x:row r="12" ht="40" customHeight="1">
      <x:c r="A12" s="13" t="str">
        <x:v>INN individual deductible</x:v>
      </x:c>
      <x:c r="B12" s="13" t="str">
        <x:v>Not comparable</x:v>
      </x:c>
      <x:c r="C12" s="13" t="str">
        <x:v>Not comparable</x:v>
      </x:c>
      <x:c r="D12" s="13" t="str">
        <x:v>Not comparable</x:v>
      </x:c>
      <x:c r="E12" s="13" t="str">
        <x:v>Not comparable</x:v>
      </x:c>
    </x:row>
    <x:row r="13" ht="40" customHeight="1">
      <x:c r="A13" s="12" t="str">
        <x:v>INN family deductible</x:v>
      </x:c>
      <x:c r="B13" s="12" t="str">
        <x:v>Not comparable</x:v>
      </x:c>
      <x:c r="C13" s="12" t="str">
        <x:v>Not comparable</x:v>
      </x:c>
      <x:c r="D13" s="12" t="str">
        <x:v>Not comparable</x:v>
      </x:c>
      <x:c r="E13" s="12" t="str">
        <x:v>Not comparable</x:v>
      </x:c>
    </x:row>
    <x:row r="14" ht="40" customHeight="1">
      <x:c r="A14" s="13" t="str">
        <x:v>OON individual deductible</x:v>
      </x:c>
      <x:c r="B14" s="13" t="str">
        <x:v>Not stated</x:v>
      </x:c>
      <x:c r="C14" s="13" t="str">
        <x:v>Not stated</x:v>
      </x:c>
      <x:c r="D14" s="13" t="str">
        <x:v>Not stated</x:v>
      </x:c>
      <x:c r="E14" s="13" t="str">
        <x:v>Not stated</x:v>
      </x:c>
    </x:row>
    <x:row r="15" ht="40" customHeight="1">
      <x:c r="A15" s="12" t="str">
        <x:v>OON family deductible</x:v>
      </x:c>
      <x:c r="B15" s="12" t="str">
        <x:v>Not stated</x:v>
      </x:c>
      <x:c r="C15" s="12" t="str">
        <x:v>Not stated</x:v>
      </x:c>
      <x:c r="D15" s="12" t="str">
        <x:v>Not stated</x:v>
      </x:c>
      <x:c r="E15" s="12" t="str">
        <x:v>Not stated</x:v>
      </x:c>
    </x:row>
    <x:row r="16" ht="40" customHeight="1">
      <x:c r="A16" s="13" t="str">
        <x:v>INN member coinsurance</x:v>
      </x:c>
      <x:c r="B16" s="13" t="str">
        <x:v>Fixed dollar benefits</x:v>
      </x:c>
      <x:c r="C16" s="13" t="str">
        <x:v>Fixed dollar benefits</x:v>
      </x:c>
      <x:c r="D16" s="13" t="str">
        <x:v>Fixed dollar benefits</x:v>
      </x:c>
      <x:c r="E16" s="13" t="str">
        <x:v>Fixed dollar benefits</x:v>
      </x:c>
    </x:row>
    <x:row r="17" ht="64" customHeight="1">
      <x:c r="A17" s="12" t="str">
        <x:v>OON member coinsurance</x:v>
      </x:c>
      <x:c r="B17" s="12" t="str">
        <x:v>Fixed dollar benefits; network terms unverified</x:v>
      </x:c>
      <x:c r="C17" s="12" t="str">
        <x:v>Fixed dollar benefits; network terms unverified</x:v>
      </x:c>
      <x:c r="D17" s="12" t="str">
        <x:v>Fixed dollar benefits; network terms unverified</x:v>
      </x:c>
      <x:c r="E17" s="12" t="str">
        <x:v>Fixed dollar benefits; network terms unverified</x:v>
      </x:c>
    </x:row>
    <x:row r="18" ht="40" customHeight="1">
      <x:c r="A18" s="13" t="str">
        <x:v>INN individual OOP limit</x:v>
      </x:c>
      <x:c r="B18" s="13" t="str">
        <x:v>No comprehensive cap</x:v>
      </x:c>
      <x:c r="C18" s="13" t="str">
        <x:v>No comprehensive cap</x:v>
      </x:c>
      <x:c r="D18" s="13" t="str">
        <x:v>No comprehensive cap</x:v>
      </x:c>
      <x:c r="E18" s="13" t="str">
        <x:v>No comprehensive cap</x:v>
      </x:c>
    </x:row>
    <x:row r="19" ht="40" customHeight="1">
      <x:c r="A19" s="12" t="str">
        <x:v>INN family OOP limit</x:v>
      </x:c>
      <x:c r="B19" s="12" t="str">
        <x:v>No comprehensive cap</x:v>
      </x:c>
      <x:c r="C19" s="12" t="str">
        <x:v>No comprehensive cap</x:v>
      </x:c>
      <x:c r="D19" s="12" t="str">
        <x:v>No comprehensive cap</x:v>
      </x:c>
      <x:c r="E19" s="12" t="str">
        <x:v>No comprehensive cap</x:v>
      </x:c>
    </x:row>
    <x:row r="20" ht="40" customHeight="1">
      <x:c r="A20" s="13" t="str">
        <x:v>OON individual OOP limit</x:v>
      </x:c>
      <x:c r="B20" s="13" t="str">
        <x:v>Not stated</x:v>
      </x:c>
      <x:c r="C20" s="13" t="str">
        <x:v>Not stated</x:v>
      </x:c>
      <x:c r="D20" s="13" t="str">
        <x:v>Not stated</x:v>
      </x:c>
      <x:c r="E20" s="13" t="str">
        <x:v>Not stated</x:v>
      </x:c>
    </x:row>
    <x:row r="21" ht="40" customHeight="1">
      <x:c r="A21" s="12" t="str">
        <x:v>OON family OOP limit</x:v>
      </x:c>
      <x:c r="B21" s="12" t="str">
        <x:v>Not stated</x:v>
      </x:c>
      <x:c r="C21" s="12" t="str">
        <x:v>Not stated</x:v>
      </x:c>
      <x:c r="D21" s="12" t="str">
        <x:v>Not stated</x:v>
      </x:c>
      <x:c r="E21" s="12" t="str">
        <x:v>Not stated</x:v>
      </x:c>
    </x:row>
    <x:row r="22" ht="112" customHeight="1">
      <x:c r="A22" s="13" t="str">
        <x:v>Gap benefit</x:v>
      </x:c>
      <x:c r="B22" s="13" t="str">
        <x:v>No comprehensive medical network required for fixed scheduled cash indemnity; confirms a payable benefit only under certificate terms, not full bill coverage.</x:v>
      </x:c>
      <x:c r="C22" s="13" t="str">
        <x:v>No comprehensive medical network required for fixed scheduled cash indemnity; confirms a payable benefit only under certificate terms, not full bill coverage.</x:v>
      </x:c>
      <x:c r="D22" s="13" t="str">
        <x:v>No comprehensive medical network required for fixed scheduled cash indemnity; confirms a payable benefit only under certificate terms, not full bill coverage.</x:v>
      </x:c>
      <x:c r="E22" s="13" t="str">
        <x:v>No comprehensive medical network required for fixed scheduled cash indemnity; confirms a payable benefit only under certificate terms, not full bill coverage.</x:v>
      </x:c>
    </x:row>
    <x:row r="23" ht="64" customHeight="1">
      <x:c r="A23" s="12" t="str">
        <x:v>Primary care</x:v>
      </x:c>
      <x:c r="B23" s="12" t="str">
        <x:v>Pays $80/day; 4 medically necessary days + 1 wellness day</x:v>
      </x:c>
      <x:c r="C23" s="12" t="str">
        <x:v>Pays $100/day; 4 medically necessary days + 1 wellness day</x:v>
      </x:c>
      <x:c r="D23" s="12" t="str">
        <x:v>Pays $125/day; 5 medically necessary days + 1 wellness day</x:v>
      </x:c>
      <x:c r="E23" s="12" t="str">
        <x:v>Pays $125/day; 6 medically necessary days + 1 wellness day</x:v>
      </x:c>
    </x:row>
    <x:row r="24" ht="64" customHeight="1">
      <x:c r="A24" s="13" t="str">
        <x:v>Specialist</x:v>
      </x:c>
      <x:c r="B24" s="13" t="str">
        <x:v>Physician visit benefit; see certificate</x:v>
      </x:c>
      <x:c r="C24" s="13" t="str">
        <x:v>Physician visit benefit; see certificate</x:v>
      </x:c>
      <x:c r="D24" s="13" t="str">
        <x:v>Physician visit benefit; see certificate</x:v>
      </x:c>
      <x:c r="E24" s="13" t="str">
        <x:v>Physician visit benefit; see certificate</x:v>
      </x:c>
    </x:row>
    <x:row r="25" ht="112" customHeight="1">
      <x:c r="A25" s="12" t="str">
        <x:v>Hospital</x:v>
      </x:c>
      <x:c r="B25" s="12" t="str">
        <x:v>Pays $1,000 admission day; $1,000/day days 2-15; inpatient surgery $3,500 for 1 day</x:v>
      </x:c>
      <x:c r="C25" s="12" t="str">
        <x:v>Pays $1,000 admission day; $1,000/day days 2-15; inpatient surgery $5,000 for 1 day</x:v>
      </x:c>
      <x:c r="D25" s="12" t="str">
        <x:v>Pays $2,000 admission day; $2,000/day days 2-15; inpatient surgery $6,000 for 1 day</x:v>
      </x:c>
      <x:c r="E25" s="12" t="str">
        <x:v>Pays $2,000 admission day; $2,000/day days 2-15; inpatient surgery $7,000 for 1 day</x:v>
      </x:c>
    </x:row>
    <x:row r="26" ht="112" customHeight="1">
      <x:c r="A26" s="13" t="str">
        <x:v>Prescription drugs</x:v>
      </x:c>
      <x:c r="B26" s="13" t="str">
        <x:v>Pays $40/day, 12 days</x:v>
      </x:c>
      <x:c r="C26" s="13" t="str">
        <x:v>Pays $40/day, 12 days</x:v>
      </x:c>
      <x:c r="D26" s="13" t="str">
        <x:v>Pays $60/day, 12 days</x:v>
      </x:c>
      <x:c r="E26" s="13" t="str">
        <x:v>Pays $60/day, 15 days</x:v>
      </x:c>
    </x:row>
    <x:row r="27" ht="64" customHeight="1">
      <x:c r="A27" s="12" t="str">
        <x:v>Benefit maximum</x:v>
      </x:c>
      <x:c r="B27" s="12" t="str">
        <x:v>Scheduled dollar/day limits</x:v>
      </x:c>
      <x:c r="C27" s="12" t="str">
        <x:v>Scheduled dollar/day limits</x:v>
      </x:c>
      <x:c r="D27" s="12" t="str">
        <x:v>Scheduled dollar/day limits</x:v>
      </x:c>
      <x:c r="E27" s="12" t="str">
        <x:v>Scheduled dollar/day limits</x:v>
      </x:c>
    </x:row>
    <x:row r="28" ht="112" customHeight="1">
      <x:c r="A28" s="13" t="str">
        <x:v>Limits and unresolved terms</x:v>
      </x:c>
      <x:c r="B28" s="13" t="str">
        <x:v>Supplemental fixed indemnity; remaining bills are member responsibility. Six-month pre-existing condition limitation. Separate accident benefit has $1,000 corridor deductible. Lyric virtual services do not establish a medical PPO network. User identifies this as a straight fixed indemnity plan; use any provider but the fixed benefit may be far below the provider charge.</x:v>
      </x:c>
      <x:c r="C28" s="13" t="str">
        <x:v>Supplemental fixed indemnity; remaining bills are member responsibility. Six-month pre-existing condition limitation. Separate accident benefit has $1,000 corridor deductible. Lyric virtual services do not establish a medical PPO network. User identifies this as a straight fixed indemnity plan; use any provider but the fixed benefit may be far below the provider charge.</x:v>
      </x:c>
      <x:c r="D28" s="13" t="str">
        <x:v>Supplemental fixed indemnity; remaining bills are member responsibility. Six-month pre-existing condition limitation. Separate accident benefit has $1,000 corridor deductible. Lyric virtual services do not establish a medical PPO network. User identifies this as a straight fixed indemnity plan; use any provider but the fixed benefit may be far below the provider charge.</x:v>
      </x:c>
      <x:c r="E28" s="13" t="str">
        <x:v>Supplemental fixed indemnity; remaining bills are member responsibility. Six-month pre-existing condition limitation. Separate accident benefit has $1,000 corridor deductible. Lyric virtual services do not establish a medical PPO network. User identifies this as a straight fixed indemnity plan; use any provider but the fixed benefit may be far below the provider charge.</x:v>
      </x:c>
    </x:row>
    <x:row r="29" ht="64" customHeight="1">
      <x:c r="A29" s="12" t="str">
        <x:v>Source and pages</x:v>
      </x:c>
      <x:c r="B29" s="15" t="str">
        <x:v>S33; 1; 16-18</x:v>
      </x:c>
      <x:c r="C29" s="15" t="str">
        <x:v>S34; 1; 16-18</x:v>
      </x:c>
      <x:c r="D29" s="15" t="str">
        <x:v>S35; 1; 16-18</x:v>
      </x:c>
      <x:c r="E29" s="15" t="str">
        <x:v>S36; 1; 16-18</x:v>
      </x:c>
    </x:row>
    <x:row r="30" ht="25" customHeight="1">
      <x:c r="A30" s="2"/>
      <x:c r="B30" s="2"/>
      <x:c r="C30" s="2"/>
      <x:c r="D30" s="2"/>
      <x:c r="E30" s="2"/>
    </x:row>
    <x:row r="31" ht="25" customHeight="1">
      <x:c r="A31" s="2"/>
      <x:c r="B31" s="2"/>
      <x:c r="C31" s="2"/>
      <x:c r="D31" s="2"/>
      <x:c r="E31" s="2"/>
    </x:row>
    <x:row r="32" ht="25" customHeight="1">
      <x:c r="A32" s="2"/>
      <x:c r="B32" s="2"/>
      <x:c r="C32" s="2"/>
      <x:c r="D32" s="2"/>
      <x:c r="E32" s="2"/>
    </x:row>
    <x:row r="33" ht="25" customHeight="1">
      <x:c r="A33" s="2"/>
      <x:c r="B33" s="2"/>
      <x:c r="C33" s="2"/>
      <x:c r="D33" s="2"/>
      <x:c r="E33" s="2"/>
    </x:row>
    <x:row r="34" ht="45" customHeight="1">
      <x:c r="A34" s="8" t="str">
        <x:v>Measure</x:v>
      </x:c>
      <x:c r="B34" s="8" t="str">
        <x:v>Bloom Plan 5</x:v>
      </x:c>
      <x:c r="C34" s="8" t="str">
        <x:v>Bloom Plan 6</x:v>
      </x:c>
      <x:c r="D34" s="8" t="str">
        <x:v>Bloom Plan 7</x:v>
      </x:c>
      <x:c r="E34" s="8" t="str">
        <x:v>Everest AFEUSA Prime 2000</x:v>
      </x:c>
    </x:row>
    <x:row r="35" ht="40" customHeight="1">
      <x:c r="A35" s="12" t="str">
        <x:v>Entity</x:v>
      </x:c>
      <x:c r="B35" s="12" t="str">
        <x:v>Lucida</x:v>
      </x:c>
      <x:c r="C35" s="12" t="str">
        <x:v>Lucida</x:v>
      </x:c>
      <x:c r="D35" s="12" t="str">
        <x:v>Lucida</x:v>
      </x:c>
      <x:c r="E35" s="12" t="str">
        <x:v>Lucida</x:v>
      </x:c>
    </x:row>
    <x:row r="36" ht="64" customHeight="1">
      <x:c r="A36" s="13" t="str">
        <x:v>Plan structure</x:v>
      </x:c>
      <x:c r="B36" s="13" t="str">
        <x:v>Supplemental fixed indemnity</x:v>
      </x:c>
      <x:c r="C36" s="13" t="str">
        <x:v>Supplemental fixed indemnity</x:v>
      </x:c>
      <x:c r="D36" s="13" t="str">
        <x:v>Supplemental fixed indemnity</x:v>
      </x:c>
      <x:c r="E36" s="13" t="str">
        <x:v>Supplemental fixed indemnity with PPO access</x:v>
      </x:c>
    </x:row>
    <x:row r="37" ht="64" customHeight="1">
      <x:c r="A37" s="12" t="str">
        <x:v>Network</x:v>
      </x:c>
      <x:c r="B37" s="12" t="str">
        <x:v>Fixed indemnity; no medical network identified</x:v>
      </x:c>
      <x:c r="C37" s="12" t="str">
        <x:v>Fixed indemnity; no medical network identified</x:v>
      </x:c>
      <x:c r="D37" s="12" t="str">
        <x:v>Fixed indemnity; no medical network identified</x:v>
      </x:c>
      <x:c r="E37" s="12" t="str">
        <x:v>First Health PPO</x:v>
      </x:c>
    </x:row>
    <x:row r="38" ht="40" customHeight="1">
      <x:c r="A38" s="13" t="str">
        <x:v>INN individual deductible</x:v>
      </x:c>
      <x:c r="B38" s="13" t="str">
        <x:v>Not comparable</x:v>
      </x:c>
      <x:c r="C38" s="13" t="str">
        <x:v>Not comparable</x:v>
      </x:c>
      <x:c r="D38" s="13" t="str">
        <x:v>Not comparable</x:v>
      </x:c>
      <x:c r="E38" s="13" t="str">
        <x:v>Not comparable</x:v>
      </x:c>
    </x:row>
    <x:row r="39" ht="40" customHeight="1">
      <x:c r="A39" s="12" t="str">
        <x:v>INN family deductible</x:v>
      </x:c>
      <x:c r="B39" s="12" t="str">
        <x:v>Not comparable</x:v>
      </x:c>
      <x:c r="C39" s="12" t="str">
        <x:v>Not comparable</x:v>
      </x:c>
      <x:c r="D39" s="12" t="str">
        <x:v>Not comparable</x:v>
      </x:c>
      <x:c r="E39" s="12" t="str">
        <x:v>Not comparable</x:v>
      </x:c>
    </x:row>
    <x:row r="40" ht="40" customHeight="1">
      <x:c r="A40" s="13" t="str">
        <x:v>OON individual deductible</x:v>
      </x:c>
      <x:c r="B40" s="13" t="str">
        <x:v>Not stated</x:v>
      </x:c>
      <x:c r="C40" s="13" t="str">
        <x:v>Not stated</x:v>
      </x:c>
      <x:c r="D40" s="13" t="str">
        <x:v>Not stated</x:v>
      </x:c>
      <x:c r="E40" s="13" t="str">
        <x:v>Not stated</x:v>
      </x:c>
    </x:row>
    <x:row r="41" ht="40" customHeight="1">
      <x:c r="A41" s="12" t="str">
        <x:v>OON family deductible</x:v>
      </x:c>
      <x:c r="B41" s="12" t="str">
        <x:v>Not stated</x:v>
      </x:c>
      <x:c r="C41" s="12" t="str">
        <x:v>Not stated</x:v>
      </x:c>
      <x:c r="D41" s="12" t="str">
        <x:v>Not stated</x:v>
      </x:c>
      <x:c r="E41" s="12" t="str">
        <x:v>Not stated</x:v>
      </x:c>
    </x:row>
    <x:row r="42" ht="40" customHeight="1">
      <x:c r="A42" s="13" t="str">
        <x:v>INN member coinsurance</x:v>
      </x:c>
      <x:c r="B42" s="13" t="str">
        <x:v>Fixed dollar benefits</x:v>
      </x:c>
      <x:c r="C42" s="13" t="str">
        <x:v>Fixed dollar benefits</x:v>
      </x:c>
      <x:c r="D42" s="13" t="str">
        <x:v>Fixed dollar benefits</x:v>
      </x:c>
      <x:c r="E42" s="13" t="str">
        <x:v>Fixed dollar benefits</x:v>
      </x:c>
    </x:row>
    <x:row r="43" ht="64" customHeight="1">
      <x:c r="A43" s="12" t="str">
        <x:v>OON member coinsurance</x:v>
      </x:c>
      <x:c r="B43" s="12" t="str">
        <x:v>Fixed dollar benefits; network terms unverified</x:v>
      </x:c>
      <x:c r="C43" s="12" t="str">
        <x:v>Fixed dollar benefits; network terms unverified</x:v>
      </x:c>
      <x:c r="D43" s="12" t="str">
        <x:v>Fixed dollar benefits; network terms unverified</x:v>
      </x:c>
      <x:c r="E43" s="12" t="str">
        <x:v>Fixed dollar benefits; discount terms differ</x:v>
      </x:c>
    </x:row>
    <x:row r="44" ht="40" customHeight="1">
      <x:c r="A44" s="13" t="str">
        <x:v>INN individual OOP limit</x:v>
      </x:c>
      <x:c r="B44" s="13" t="str">
        <x:v>No comprehensive cap</x:v>
      </x:c>
      <x:c r="C44" s="13" t="str">
        <x:v>No comprehensive cap</x:v>
      </x:c>
      <x:c r="D44" s="13" t="str">
        <x:v>No comprehensive cap</x:v>
      </x:c>
      <x:c r="E44" s="13" t="str">
        <x:v>No comprehensive cap</x:v>
      </x:c>
    </x:row>
    <x:row r="45" ht="40" customHeight="1">
      <x:c r="A45" s="12" t="str">
        <x:v>INN family OOP limit</x:v>
      </x:c>
      <x:c r="B45" s="12" t="str">
        <x:v>No comprehensive cap</x:v>
      </x:c>
      <x:c r="C45" s="12" t="str">
        <x:v>No comprehensive cap</x:v>
      </x:c>
      <x:c r="D45" s="12" t="str">
        <x:v>No comprehensive cap</x:v>
      </x:c>
      <x:c r="E45" s="12" t="str">
        <x:v>No comprehensive cap</x:v>
      </x:c>
    </x:row>
    <x:row r="46" ht="40" customHeight="1">
      <x:c r="A46" s="13" t="str">
        <x:v>OON individual OOP limit</x:v>
      </x:c>
      <x:c r="B46" s="13" t="str">
        <x:v>Not stated</x:v>
      </x:c>
      <x:c r="C46" s="13" t="str">
        <x:v>Not stated</x:v>
      </x:c>
      <x:c r="D46" s="13" t="str">
        <x:v>Not stated</x:v>
      </x:c>
      <x:c r="E46" s="13" t="str">
        <x:v>Not stated</x:v>
      </x:c>
    </x:row>
    <x:row r="47" ht="40" customHeight="1">
      <x:c r="A47" s="12" t="str">
        <x:v>OON family OOP limit</x:v>
      </x:c>
      <x:c r="B47" s="12" t="str">
        <x:v>Not stated</x:v>
      </x:c>
      <x:c r="C47" s="12" t="str">
        <x:v>Not stated</x:v>
      </x:c>
      <x:c r="D47" s="12" t="str">
        <x:v>Not stated</x:v>
      </x:c>
      <x:c r="E47" s="12" t="str">
        <x:v>Not stated</x:v>
      </x:c>
    </x:row>
    <x:row r="48" ht="112" customHeight="1">
      <x:c r="A48" s="13" t="str">
        <x:v>Gap benefit</x:v>
      </x:c>
      <x:c r="B48" s="13" t="str">
        <x:v>No comprehensive medical network required for fixed scheduled cash indemnity; confirms a payable benefit only under certificate terms, not full bill coverage.</x:v>
      </x:c>
      <x:c r="C48" s="13" t="str">
        <x:v>No comprehensive medical network required for fixed scheduled cash indemnity; confirms a payable benefit only under certificate terms, not full bill coverage.</x:v>
      </x:c>
      <x:c r="D48" s="13" t="str">
        <x:v>No comprehensive medical network required for fixed scheduled cash indemnity; confirms a payable benefit only under certificate terms, not full bill coverage.</x:v>
      </x:c>
      <x:c r="E48" s="13" t="str">
        <x:v>Not applicable</x:v>
      </x:c>
    </x:row>
    <x:row r="49" ht="64" customHeight="1">
      <x:c r="A49" s="12" t="str">
        <x:v>Primary care</x:v>
      </x:c>
      <x:c r="B49" s="12" t="str">
        <x:v>Pays $125/day; 6 medically necessary days + 1 wellness day</x:v>
      </x:c>
      <x:c r="C49" s="12" t="str">
        <x:v>Pays $125/day; 6 medically necessary days + 1 wellness day</x:v>
      </x:c>
      <x:c r="D49" s="12" t="str">
        <x:v>Pays $125/day; 6 medically necessary days + 1 wellness day</x:v>
      </x:c>
      <x:c r="E49" s="12" t="str">
        <x:v>Pays $125/day; 8 days</x:v>
      </x:c>
    </x:row>
    <x:row r="50" ht="64" customHeight="1">
      <x:c r="A50" s="13" t="str">
        <x:v>Specialist</x:v>
      </x:c>
      <x:c r="B50" s="13" t="str">
        <x:v>Physician visit benefit; see certificate</x:v>
      </x:c>
      <x:c r="C50" s="13" t="str">
        <x:v>Physician visit benefit; see certificate</x:v>
      </x:c>
      <x:c r="D50" s="13" t="str">
        <x:v>Physician visit benefit; see certificate</x:v>
      </x:c>
      <x:c r="E50" s="13" t="str">
        <x:v>See physician visit benefit</x:v>
      </x:c>
    </x:row>
    <x:row r="51" ht="112" customHeight="1">
      <x:c r="A51" s="12" t="str">
        <x:v>Hospital</x:v>
      </x:c>
      <x:c r="B51" s="12" t="str">
        <x:v>Pays $3,000 admission day; $3,000/day days 2-15; inpatient surgery $7,000 for 1 day</x:v>
      </x:c>
      <x:c r="C51" s="12" t="str">
        <x:v>Pays $4,000 admission day; $4,000/day days 2-15; inpatient surgery $7,000 for 1 day</x:v>
      </x:c>
      <x:c r="D51" s="12" t="str">
        <x:v>Pays $5,000 admission day; $5,000/day days 2-15; inpatient surgery $7,000 for 1 day</x:v>
      </x:c>
      <x:c r="E51" s="12" t="str">
        <x:v>Pays $2,000/day for scheduled confinement; see benefit/day limits</x:v>
      </x:c>
    </x:row>
    <x:row r="52" ht="112" customHeight="1">
      <x:c r="A52" s="13" t="str">
        <x:v>Prescription drugs</x:v>
      </x:c>
      <x:c r="B52" s="13" t="str">
        <x:v>Pays $60/day, 15 days</x:v>
      </x:c>
      <x:c r="C52" s="13" t="str">
        <x:v>Pays $60/day, 15 days</x:v>
      </x:c>
      <x:c r="D52" s="13" t="str">
        <x:v>Pays $60/day, 15 days</x:v>
      </x:c>
      <x:c r="E52" s="13" t="str">
        <x:v>Ancillary pharmacy programs; not major-medical prescription coverage</x:v>
      </x:c>
    </x:row>
    <x:row r="53" ht="64" customHeight="1">
      <x:c r="A53" s="12" t="str">
        <x:v>Benefit maximum</x:v>
      </x:c>
      <x:c r="B53" s="12" t="str">
        <x:v>Scheduled dollar/day limits</x:v>
      </x:c>
      <x:c r="C53" s="12" t="str">
        <x:v>Scheduled dollar/day limits</x:v>
      </x:c>
      <x:c r="D53" s="12" t="str">
        <x:v>Scheduled dollar/day limits</x:v>
      </x:c>
      <x:c r="E53" s="15" t="n">
        <x:v>50000</x:v>
      </x:c>
    </x:row>
    <x:row r="54" ht="112" customHeight="1">
      <x:c r="A54" s="13" t="str">
        <x:v>Limits and unresolved terms</x:v>
      </x:c>
      <x:c r="B54" s="13" t="str">
        <x:v>Supplemental fixed indemnity; remaining bills are member responsibility. Six-month pre-existing condition limitation. Separate accident benefit has $1,000 corridor deductible. Lyric virtual services do not establish a medical PPO network. User identifies this as a straight fixed indemnity plan; use any provider but the fixed benefit may be far below the provider charge.</x:v>
      </x:c>
      <x:c r="C54" s="13" t="str">
        <x:v>Supplemental fixed indemnity; remaining bills are member responsibility. Six-month pre-existing condition limitation. Separate accident benefit has $1,000 corridor deductible. Lyric virtual services do not establish a medical PPO network. User identifies this as a straight fixed indemnity plan; use any provider but the fixed benefit may be far below the provider charge.</x:v>
      </x:c>
      <x:c r="D54" s="13" t="str">
        <x:v>Supplemental fixed indemnity; remaining bills are member responsibility. Six-month pre-existing condition limitation. Separate accident benefit has $1,000 corridor deductible. Lyric virtual services do not establish a medical PPO network. User identifies this as a straight fixed indemnity plan; use any provider but the fixed benefit may be far below the provider charge.</x:v>
      </x:c>
      <x:c r="E54" s="13" t="str">
        <x:v>Supplemental coverage; $50,000 certificate-year maximum excludes riders. Newborn indemnity 365-day wait; cancer/critical illness 30-day waits. Provider discount access does not pay remaining bills.</x:v>
      </x:c>
    </x:row>
    <x:row r="55" ht="64" customHeight="1">
      <x:c r="A55" s="12" t="str">
        <x:v>Source and pages</x:v>
      </x:c>
      <x:c r="B55" s="15" t="str">
        <x:v>S37; 1; 16-18</x:v>
      </x:c>
      <x:c r="C55" s="15" t="str">
        <x:v>S38; 1; 16-18</x:v>
      </x:c>
      <x:c r="D55" s="15" t="str">
        <x:v>S39; 1; 16-18</x:v>
      </x:c>
      <x:c r="E55" s="15" t="str">
        <x:v>S40; 3-8</x:v>
      </x:c>
    </x:row>
    <x:row r="56" ht="25" customHeight="1">
      <x:c r="A56" s="2"/>
      <x:c r="B56" s="2"/>
      <x:c r="C56" s="2"/>
      <x:c r="D56" s="2"/>
      <x:c r="E56" s="2"/>
    </x:row>
    <x:row r="57" ht="25" customHeight="1">
      <x:c r="A57" s="2"/>
      <x:c r="B57" s="2"/>
      <x:c r="C57" s="2"/>
      <x:c r="D57" s="2"/>
      <x:c r="E57" s="2"/>
    </x:row>
    <x:row r="58" ht="25" customHeight="1">
      <x:c r="A58" s="2"/>
      <x:c r="B58" s="2"/>
      <x:c r="C58" s="2"/>
      <x:c r="D58" s="2"/>
      <x:c r="E58" s="2"/>
    </x:row>
    <x:row r="59" ht="25" customHeight="1">
      <x:c r="A59" s="2"/>
      <x:c r="B59" s="2"/>
      <x:c r="C59" s="2"/>
      <x:c r="D59" s="2"/>
      <x:c r="E59" s="2"/>
    </x:row>
    <x:row r="60" ht="45" customHeight="1">
      <x:c r="A60" s="8" t="str">
        <x:v>Measure</x:v>
      </x:c>
      <x:c r="B60" s="8" t="str">
        <x:v>Everest AFEUSA Prime 3000</x:v>
      </x:c>
      <x:c r="C60" s="8" t="str">
        <x:v>Everest AFEUSA Prime 4000</x:v>
      </x:c>
      <x:c r="D60" s="8" t="str">
        <x:v>Everest AFEUSA Prime 6000</x:v>
      </x:c>
      <x:c r="E60" s="8" t="str">
        <x:v>Everest AFEUSA Prime 8000</x:v>
      </x:c>
    </x:row>
    <x:row r="61" ht="40" customHeight="1">
      <x:c r="A61" s="12" t="str">
        <x:v>Entity</x:v>
      </x:c>
      <x:c r="B61" s="12" t="str">
        <x:v>Lucida</x:v>
      </x:c>
      <x:c r="C61" s="12" t="str">
        <x:v>Lucida</x:v>
      </x:c>
      <x:c r="D61" s="12" t="str">
        <x:v>Lucida</x:v>
      </x:c>
      <x:c r="E61" s="12" t="str">
        <x:v>Lucida</x:v>
      </x:c>
    </x:row>
    <x:row r="62" ht="64" customHeight="1">
      <x:c r="A62" s="13" t="str">
        <x:v>Plan structure</x:v>
      </x:c>
      <x:c r="B62" s="13" t="str">
        <x:v>Supplemental fixed indemnity with PPO access</x:v>
      </x:c>
      <x:c r="C62" s="13" t="str">
        <x:v>Supplemental fixed indemnity with PPO access</x:v>
      </x:c>
      <x:c r="D62" s="13" t="str">
        <x:v>Supplemental fixed indemnity with PPO access</x:v>
      </x:c>
      <x:c r="E62" s="13" t="str">
        <x:v>Supplemental fixed indemnity with PPO access</x:v>
      </x:c>
    </x:row>
    <x:row r="63" ht="64" customHeight="1">
      <x:c r="A63" s="12" t="str">
        <x:v>Network</x:v>
      </x:c>
      <x:c r="B63" s="12" t="str">
        <x:v>First Health PPO</x:v>
      </x:c>
      <x:c r="C63" s="12" t="str">
        <x:v>First Health PPO</x:v>
      </x:c>
      <x:c r="D63" s="12" t="str">
        <x:v>First Health PPO</x:v>
      </x:c>
      <x:c r="E63" s="12" t="str">
        <x:v>First Health PPO</x:v>
      </x:c>
    </x:row>
    <x:row r="64" ht="40" customHeight="1">
      <x:c r="A64" s="13" t="str">
        <x:v>INN individual deductible</x:v>
      </x:c>
      <x:c r="B64" s="13" t="str">
        <x:v>Not comparable</x:v>
      </x:c>
      <x:c r="C64" s="13" t="str">
        <x:v>Not comparable</x:v>
      </x:c>
      <x:c r="D64" s="13" t="str">
        <x:v>Not comparable</x:v>
      </x:c>
      <x:c r="E64" s="13" t="str">
        <x:v>Not comparable</x:v>
      </x:c>
    </x:row>
    <x:row r="65" ht="40" customHeight="1">
      <x:c r="A65" s="12" t="str">
        <x:v>INN family deductible</x:v>
      </x:c>
      <x:c r="B65" s="12" t="str">
        <x:v>Not comparable</x:v>
      </x:c>
      <x:c r="C65" s="12" t="str">
        <x:v>Not comparable</x:v>
      </x:c>
      <x:c r="D65" s="12" t="str">
        <x:v>Not comparable</x:v>
      </x:c>
      <x:c r="E65" s="12" t="str">
        <x:v>Not comparable</x:v>
      </x:c>
    </x:row>
    <x:row r="66" ht="40" customHeight="1">
      <x:c r="A66" s="13" t="str">
        <x:v>OON individual deductible</x:v>
      </x:c>
      <x:c r="B66" s="13" t="str">
        <x:v>Not stated</x:v>
      </x:c>
      <x:c r="C66" s="13" t="str">
        <x:v>Not stated</x:v>
      </x:c>
      <x:c r="D66" s="13" t="str">
        <x:v>Not stated</x:v>
      </x:c>
      <x:c r="E66" s="13" t="str">
        <x:v>Not stated</x:v>
      </x:c>
    </x:row>
    <x:row r="67" ht="40" customHeight="1">
      <x:c r="A67" s="12" t="str">
        <x:v>OON family deductible</x:v>
      </x:c>
      <x:c r="B67" s="12" t="str">
        <x:v>Not stated</x:v>
      </x:c>
      <x:c r="C67" s="12" t="str">
        <x:v>Not stated</x:v>
      </x:c>
      <x:c r="D67" s="12" t="str">
        <x:v>Not stated</x:v>
      </x:c>
      <x:c r="E67" s="12" t="str">
        <x:v>Not stated</x:v>
      </x:c>
    </x:row>
    <x:row r="68" ht="40" customHeight="1">
      <x:c r="A68" s="13" t="str">
        <x:v>INN member coinsurance</x:v>
      </x:c>
      <x:c r="B68" s="13" t="str">
        <x:v>Fixed dollar benefits</x:v>
      </x:c>
      <x:c r="C68" s="13" t="str">
        <x:v>Fixed dollar benefits</x:v>
      </x:c>
      <x:c r="D68" s="13" t="str">
        <x:v>Fixed dollar benefits</x:v>
      </x:c>
      <x:c r="E68" s="13" t="str">
        <x:v>Fixed dollar benefits</x:v>
      </x:c>
    </x:row>
    <x:row r="69" ht="64" customHeight="1">
      <x:c r="A69" s="12" t="str">
        <x:v>OON member coinsurance</x:v>
      </x:c>
      <x:c r="B69" s="12" t="str">
        <x:v>Fixed dollar benefits; discount terms differ</x:v>
      </x:c>
      <x:c r="C69" s="12" t="str">
        <x:v>Fixed dollar benefits; discount terms differ</x:v>
      </x:c>
      <x:c r="D69" s="12" t="str">
        <x:v>Fixed dollar benefits; discount terms differ</x:v>
      </x:c>
      <x:c r="E69" s="12" t="str">
        <x:v>Fixed dollar benefits; discount terms differ</x:v>
      </x:c>
    </x:row>
    <x:row r="70" ht="40" customHeight="1">
      <x:c r="A70" s="13" t="str">
        <x:v>INN individual OOP limit</x:v>
      </x:c>
      <x:c r="B70" s="13" t="str">
        <x:v>No comprehensive cap</x:v>
      </x:c>
      <x:c r="C70" s="13" t="str">
        <x:v>No comprehensive cap</x:v>
      </x:c>
      <x:c r="D70" s="13" t="str">
        <x:v>No comprehensive cap</x:v>
      </x:c>
      <x:c r="E70" s="13" t="str">
        <x:v>No comprehensive cap</x:v>
      </x:c>
    </x:row>
    <x:row r="71" ht="40" customHeight="1">
      <x:c r="A71" s="12" t="str">
        <x:v>INN family OOP limit</x:v>
      </x:c>
      <x:c r="B71" s="12" t="str">
        <x:v>No comprehensive cap</x:v>
      </x:c>
      <x:c r="C71" s="12" t="str">
        <x:v>No comprehensive cap</x:v>
      </x:c>
      <x:c r="D71" s="12" t="str">
        <x:v>No comprehensive cap</x:v>
      </x:c>
      <x:c r="E71" s="12" t="str">
        <x:v>No comprehensive cap</x:v>
      </x:c>
    </x:row>
    <x:row r="72" ht="40" customHeight="1">
      <x:c r="A72" s="13" t="str">
        <x:v>OON individual OOP limit</x:v>
      </x:c>
      <x:c r="B72" s="13" t="str">
        <x:v>Not stated</x:v>
      </x:c>
      <x:c r="C72" s="13" t="str">
        <x:v>Not stated</x:v>
      </x:c>
      <x:c r="D72" s="13" t="str">
        <x:v>Not stated</x:v>
      </x:c>
      <x:c r="E72" s="13" t="str">
        <x:v>Not stated</x:v>
      </x:c>
    </x:row>
    <x:row r="73" ht="40" customHeight="1">
      <x:c r="A73" s="12" t="str">
        <x:v>OON family OOP limit</x:v>
      </x:c>
      <x:c r="B73" s="12" t="str">
        <x:v>Not stated</x:v>
      </x:c>
      <x:c r="C73" s="12" t="str">
        <x:v>Not stated</x:v>
      </x:c>
      <x:c r="D73" s="12" t="str">
        <x:v>Not stated</x:v>
      </x:c>
      <x:c r="E73" s="12" t="str">
        <x:v>Not stated</x:v>
      </x:c>
    </x:row>
    <x:row r="74" ht="112" customHeight="1">
      <x:c r="A74" s="13" t="str">
        <x:v>Gap benefit</x:v>
      </x:c>
      <x:c r="B74" s="13" t="str">
        <x:v>Not applicable</x:v>
      </x:c>
      <x:c r="C74" s="13" t="str">
        <x:v>Not applicable</x:v>
      </x:c>
      <x:c r="D74" s="13" t="str">
        <x:v>Not applicable</x:v>
      </x:c>
      <x:c r="E74" s="13" t="str">
        <x:v>Not applicable</x:v>
      </x:c>
    </x:row>
    <x:row r="75" ht="64" customHeight="1">
      <x:c r="A75" s="12" t="str">
        <x:v>Primary care</x:v>
      </x:c>
      <x:c r="B75" s="12" t="str">
        <x:v>Pays $125/day; 8 days</x:v>
      </x:c>
      <x:c r="C75" s="12" t="str">
        <x:v>Pays $125/day; 8 days</x:v>
      </x:c>
      <x:c r="D75" s="12" t="str">
        <x:v>Pays $125/day; 8 days</x:v>
      </x:c>
      <x:c r="E75" s="12" t="str">
        <x:v>Pays $125/day; 10 days</x:v>
      </x:c>
    </x:row>
    <x:row r="76" ht="64" customHeight="1">
      <x:c r="A76" s="13" t="str">
        <x:v>Specialist</x:v>
      </x:c>
      <x:c r="B76" s="13" t="str">
        <x:v>See physician visit benefit</x:v>
      </x:c>
      <x:c r="C76" s="13" t="str">
        <x:v>See physician visit benefit</x:v>
      </x:c>
      <x:c r="D76" s="13" t="str">
        <x:v>See physician visit benefit</x:v>
      </x:c>
      <x:c r="E76" s="13" t="str">
        <x:v>See physician visit benefit</x:v>
      </x:c>
    </x:row>
    <x:row r="77" ht="112" customHeight="1">
      <x:c r="A77" s="12" t="str">
        <x:v>Hospital</x:v>
      </x:c>
      <x:c r="B77" s="12" t="str">
        <x:v>Pays $3,000/day for scheduled confinement; see benefit/day limits</x:v>
      </x:c>
      <x:c r="C77" s="12" t="str">
        <x:v>Pays $4,000/day for scheduled confinement; see benefit/day limits</x:v>
      </x:c>
      <x:c r="D77" s="12" t="str">
        <x:v>Pays $6,000/day for scheduled confinement; see benefit/day limits</x:v>
      </x:c>
      <x:c r="E77" s="12" t="str">
        <x:v>Pays $8,000/day for scheduled confinement; see benefit/day limits</x:v>
      </x:c>
    </x:row>
    <x:row r="78" ht="112" customHeight="1">
      <x:c r="A78" s="13" t="str">
        <x:v>Prescription drugs</x:v>
      </x:c>
      <x:c r="B78" s="13" t="str">
        <x:v>Ancillary pharmacy programs; not major-medical prescription coverage</x:v>
      </x:c>
      <x:c r="C78" s="13" t="str">
        <x:v>Ancillary pharmacy programs; not major-medical prescription coverage</x:v>
      </x:c>
      <x:c r="D78" s="13" t="str">
        <x:v>Ancillary pharmacy programs; not major-medical prescription coverage</x:v>
      </x:c>
      <x:c r="E78" s="13" t="str">
        <x:v>Ancillary pharmacy programs; not major-medical prescription coverage</x:v>
      </x:c>
    </x:row>
    <x:row r="79" ht="64" customHeight="1">
      <x:c r="A79" s="12" t="str">
        <x:v>Benefit maximum</x:v>
      </x:c>
      <x:c r="B79" s="15" t="n">
        <x:v>50000</x:v>
      </x:c>
      <x:c r="C79" s="15" t="n">
        <x:v>50000</x:v>
      </x:c>
      <x:c r="D79" s="15" t="n">
        <x:v>50000</x:v>
      </x:c>
      <x:c r="E79" s="15" t="n">
        <x:v>50000</x:v>
      </x:c>
    </x:row>
    <x:row r="80" ht="112" customHeight="1">
      <x:c r="A80" s="13" t="str">
        <x:v>Limits and unresolved terms</x:v>
      </x:c>
      <x:c r="B80" s="13" t="str">
        <x:v>Supplemental coverage; $50,000 certificate-year maximum excludes riders. Newborn indemnity 365-day wait; cancer/critical illness 30-day waits. Provider discount access does not pay remaining bills.</x:v>
      </x:c>
      <x:c r="C80" s="13" t="str">
        <x:v>Supplemental coverage; $50,000 certificate-year maximum excludes riders. Newborn indemnity 365-day wait; cancer/critical illness 30-day waits. Provider discount access does not pay remaining bills.</x:v>
      </x:c>
      <x:c r="D80" s="13" t="str">
        <x:v>Supplemental coverage; $50,000 certificate-year maximum excludes riders. Newborn indemnity 365-day wait; cancer/critical illness 30-day waits. Provider discount access does not pay remaining bills.</x:v>
      </x:c>
      <x:c r="E80" s="13" t="str">
        <x:v>Supplemental coverage; $50,000 certificate-year maximum excludes riders. Newborn indemnity 365-day wait; cancer/critical illness 30-day waits. Provider discount access does not pay remaining bills.</x:v>
      </x:c>
    </x:row>
    <x:row r="81" ht="64" customHeight="1">
      <x:c r="A81" s="12" t="str">
        <x:v>Source and pages</x:v>
      </x:c>
      <x:c r="B81" s="15" t="str">
        <x:v>S40; 3-8</x:v>
      </x:c>
      <x:c r="C81" s="15" t="str">
        <x:v>S40; 3-8</x:v>
      </x:c>
      <x:c r="D81" s="15" t="str">
        <x:v>S40; 3-8</x:v>
      </x:c>
      <x:c r="E81" s="15" t="str">
        <x:v>S40; 3-8</x:v>
      </x:c>
    </x:row>
    <x:row r="82" ht="25" customHeight="1">
      <x:c r="A82" s="2"/>
      <x:c r="B82" s="2"/>
      <x:c r="C82" s="2"/>
      <x:c r="D82" s="2"/>
      <x:c r="E82" s="2"/>
    </x:row>
    <x:row r="83" ht="25" customHeight="1">
      <x:c r="A83" s="2"/>
      <x:c r="B83" s="2"/>
      <x:c r="C83" s="2"/>
      <x:c r="D83" s="2"/>
      <x:c r="E83" s="2"/>
    </x:row>
    <x:row r="84" ht="25" customHeight="1">
      <x:c r="A84" s="2"/>
      <x:c r="B84" s="2"/>
      <x:c r="C84" s="2"/>
      <x:c r="D84" s="2"/>
      <x:c r="E84" s="2"/>
    </x:row>
    <x:row r="85" ht="25" customHeight="1">
      <x:c r="A85" s="2"/>
      <x:c r="B85" s="2"/>
      <x:c r="C85" s="2"/>
      <x:c r="D85" s="2"/>
      <x:c r="E85" s="2"/>
    </x:row>
    <x:row r="86" ht="25" customHeight="1">
      <x:c r="A86" s="2"/>
      <x:c r="B86" s="2"/>
      <x:c r="C86" s="2"/>
      <x:c r="D86" s="2"/>
      <x:c r="E86" s="2"/>
    </x:row>
    <x:row r="87" ht="25" customHeight="1">
      <x:c r="A87" s="2"/>
      <x:c r="B87" s="2"/>
      <x:c r="C87" s="2"/>
      <x:c r="D87" s="2"/>
      <x:c r="E87" s="2"/>
    </x:row>
    <x:row r="88" ht="25" customHeight="1">
      <x:c r="A88" s="2"/>
      <x:c r="B88" s="2"/>
      <x:c r="C88" s="2"/>
      <x:c r="D88" s="2"/>
      <x:c r="E88" s="2"/>
    </x:row>
    <x:row r="89" ht="25" customHeight="1">
      <x:c r="A89" s="2"/>
      <x:c r="B89" s="2"/>
      <x:c r="C89" s="2"/>
      <x:c r="D89" s="2"/>
      <x:c r="E89" s="2"/>
    </x:row>
    <x:row r="90" ht="25" customHeight="1">
      <x:c r="A90" s="2"/>
      <x:c r="B90" s="2"/>
      <x:c r="C90" s="2"/>
      <x:c r="D90" s="2"/>
      <x:c r="E90" s="2"/>
    </x:row>
    <x:row r="91" ht="25" customHeight="1">
      <x:c r="A91" s="2"/>
      <x:c r="B91" s="2"/>
      <x:c r="C91" s="2"/>
      <x:c r="D91" s="2"/>
      <x:c r="E91" s="2"/>
    </x:row>
    <x:row r="92" ht="25" customHeight="1">
      <x:c r="A92" s="2"/>
      <x:c r="B92" s="2"/>
      <x:c r="C92" s="2"/>
      <x:c r="D92" s="2"/>
      <x:c r="E92" s="2"/>
    </x:row>
    <x:row r="93" ht="25" customHeight="1">
      <x:c r="A93" s="2"/>
      <x:c r="B93" s="2"/>
      <x:c r="C93" s="2"/>
      <x:c r="D93" s="2"/>
      <x:c r="E93" s="2"/>
    </x:row>
    <x:row r="94" ht="25" customHeight="1">
      <x:c r="A94" s="2"/>
      <x:c r="B94" s="2"/>
      <x:c r="C94" s="2"/>
      <x:c r="D94" s="2"/>
      <x:c r="E94" s="2"/>
    </x:row>
    <x:row r="95" ht="25" customHeight="1">
      <x:c r="A95" s="2"/>
      <x:c r="B95" s="2"/>
      <x:c r="C95" s="2"/>
      <x:c r="D95" s="2"/>
      <x:c r="E95" s="2"/>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23" hidden="0" customWidth="1"/>
    <x:col min="3" max="3" width="23" hidden="0" customWidth="1"/>
    <x:col min="4" max="4" width="23" hidden="0" customWidth="1"/>
    <x:col min="5" max="5" width="23" hidden="0" customWidth="1"/>
    <x:col min="6" max="6" width="32" hidden="0" customWidth="1"/>
  </x:cols>
  <x:sheetData>
    <x:row r="1" ht="25" customHeight="1">
      <x:c r="A1" s="2"/>
      <x:c r="B1" s="2"/>
      <x:c r="C1" s="2"/>
      <x:c r="D1" s="2"/>
      <x:c r="E1" s="2"/>
      <x:c r="F1" s="2"/>
    </x:row>
    <x:row r="2" ht="30" customHeight="1">
      <x:c r="A2" s="3" t="str">
        <x:v>Bloom fixed indemnity premium tiers</x:v>
      </x:c>
      <x:c r="B2" s="2"/>
      <x:c r="C2" s="2"/>
      <x:c r="D2" s="2"/>
      <x:c r="E2" s="2"/>
      <x:c r="F2" s="2"/>
    </x:row>
    <x:row r="3" ht="25" customHeight="1">
      <x:c r="A3" s="2"/>
      <x:c r="B3" s="2"/>
      <x:c r="C3" s="2"/>
      <x:c r="D3" s="2"/>
      <x:c r="E3" s="2"/>
      <x:c r="F3" s="2"/>
    </x:row>
    <x:row r="4" ht="25" customHeight="1">
      <x:c r="A4" s="4" t="str">
        <x:v>Separate fixed cash indemnity comparison. These payments do not reimburse all provider charges and are not major medical.</x:v>
      </x:c>
      <x:c r="B4" s="2"/>
      <x:c r="C4" s="2"/>
      <x:c r="D4" s="2"/>
      <x:c r="E4" s="2"/>
      <x:c r="F4" s="2"/>
    </x:row>
    <x:row r="5" ht="25" customHeight="1">
      <x:c r="A5" s="4" t="str">
        <x:v>A: female 40 + 2 children uses Individual + Children. B: male 50 uses Individual. C: couple age 50 + one child uses Family. User-supplied monthly rates.</x:v>
      </x:c>
      <x:c r="B5" s="2"/>
      <x:c r="C5" s="2"/>
      <x:c r="D5" s="2"/>
      <x:c r="E5" s="2"/>
      <x:c r="F5" s="2"/>
    </x:row>
    <x:row r="6" ht="25" customHeight="1">
      <x:c r="A6" s="2"/>
      <x:c r="B6" s="2"/>
      <x:c r="C6" s="2"/>
      <x:c r="D6" s="2"/>
      <x:c r="E6" s="2"/>
      <x:c r="F6" s="2"/>
    </x:row>
    <x:row r="7" ht="25" customHeight="1">
      <x:c r="A7" s="8" t="str">
        <x:v>Plan</x:v>
      </x:c>
      <x:c r="B7" s="8" t="str">
        <x:v>Individual</x:v>
      </x:c>
      <x:c r="C7" s="8" t="str">
        <x:v>Individual + spouse</x:v>
      </x:c>
      <x:c r="D7" s="8" t="str">
        <x:v>Individual + children</x:v>
      </x:c>
      <x:c r="E7" s="8" t="str">
        <x:v>Family</x:v>
      </x:c>
      <x:c r="F7" s="8" t="str">
        <x:v>Source</x:v>
      </x:c>
    </x:row>
    <x:row r="8" ht="32" customHeight="1">
      <x:c r="A8" s="2" t="str">
        <x:v>Bloom Plan 1</x:v>
      </x:c>
      <x:c r="B8" s="11" t="n">
        <x:v>370.96</x:v>
      </x:c>
      <x:c r="C8" s="11" t="n">
        <x:v>637.37</x:v>
      </x:c>
      <x:c r="D8" s="11" t="n">
        <x:v>582.03</x:v>
      </x:c>
      <x:c r="E8" s="11" t="n">
        <x:v>838.52</x:v>
      </x:c>
      <x:c r="F8" s="2" t="str">
        <x:v>User follow-up 2026-09-20</x:v>
      </x:c>
    </x:row>
    <x:row r="9" ht="32" customHeight="1">
      <x:c r="A9" s="2" t="str">
        <x:v>Bloom Plan 2</x:v>
      </x:c>
      <x:c r="B9" s="11" t="n">
        <x:v>459.51</x:v>
      </x:c>
      <x:c r="C9" s="11" t="n">
        <x:v>825.16</x:v>
      </x:c>
      <x:c r="D9" s="11" t="n">
        <x:v>751.5</x:v>
      </x:c>
      <x:c r="E9" s="11" t="n">
        <x:v>1096.53</x:v>
      </x:c>
      <x:c r="F9" s="2" t="str">
        <x:v>User follow-up 2026-09-20</x:v>
      </x:c>
    </x:row>
    <x:row r="10" ht="32" customHeight="1">
      <x:c r="A10" s="2" t="str">
        <x:v>Bloom Plan 3</x:v>
      </x:c>
      <x:c r="B10" s="11" t="n">
        <x:v>561.8</x:v>
      </x:c>
      <x:c r="C10" s="11" t="n">
        <x:v>1038.9</x:v>
      </x:c>
      <x:c r="D10" s="11" t="n">
        <x:v>943.86</x:v>
      </x:c>
      <x:c r="E10" s="11" t="n">
        <x:v>1392.72</x:v>
      </x:c>
      <x:c r="F10" s="2" t="str">
        <x:v>User follow-up 2026-09-20</x:v>
      </x:c>
    </x:row>
    <x:row r="11" ht="32" customHeight="1">
      <x:c r="A11" s="2" t="str">
        <x:v>Bloom Plan 4</x:v>
      </x:c>
      <x:c r="B11" s="11" t="n">
        <x:v>593.86</x:v>
      </x:c>
      <x:c r="C11" s="11" t="n">
        <x:v>1104.55</x:v>
      </x:c>
      <x:c r="D11" s="11" t="n">
        <x:v>1003.4</x:v>
      </x:c>
      <x:c r="E11" s="11" t="n">
        <x:v>1482.8</x:v>
      </x:c>
      <x:c r="F11" s="2" t="str">
        <x:v>User follow-up 2026-09-20</x:v>
      </x:c>
    </x:row>
    <x:row r="12" ht="32" customHeight="1">
      <x:c r="A12" s="2" t="str">
        <x:v>Bloom Plan 5</x:v>
      </x:c>
      <x:c r="B12" s="11" t="n">
        <x:v>656.46</x:v>
      </x:c>
      <x:c r="C12" s="11" t="n">
        <x:v>1235.85</x:v>
      </x:c>
      <x:c r="D12" s="11" t="n">
        <x:v>1122.49</x:v>
      </x:c>
      <x:c r="E12" s="11" t="n">
        <x:v>1664.47</x:v>
      </x:c>
      <x:c r="F12" s="2" t="str">
        <x:v>User follow-up 2026-09-20</x:v>
      </x:c>
    </x:row>
    <x:row r="13" ht="32" customHeight="1">
      <x:c r="A13" s="2" t="str">
        <x:v>Bloom Plan 6</x:v>
      </x:c>
      <x:c r="B13" s="11" t="n">
        <x:v>731.27</x:v>
      </x:c>
      <x:c r="C13" s="11" t="n">
        <x:v>1386.99</x:v>
      </x:c>
      <x:c r="D13" s="11" t="n">
        <x:v>1258.37</x:v>
      </x:c>
      <x:c r="E13" s="11" t="n">
        <x:v>1876.69</x:v>
      </x:c>
      <x:c r="F13" s="2" t="str">
        <x:v>User follow-up 2026-09-20</x:v>
      </x:c>
    </x:row>
    <x:row r="14" ht="32" customHeight="1">
      <x:c r="A14" s="2" t="str">
        <x:v>Bloom Plan 7</x:v>
      </x:c>
      <x:c r="B14" s="11" t="n">
        <x:v>806.07</x:v>
      </x:c>
      <x:c r="C14" s="11" t="n">
        <x:v>1539.66</x:v>
      </x:c>
      <x:c r="D14" s="11" t="n">
        <x:v>1397.3</x:v>
      </x:c>
      <x:c r="E14" s="11" t="n">
        <x:v>2085.85</x:v>
      </x:c>
      <x:c r="F14" s="2" t="str">
        <x:v>User follow-up 2026-09-20</x:v>
      </x:c>
    </x:row>
    <x:row r="15" ht="25" customHeight="1">
      <x:c r="A15" s="2"/>
      <x:c r="B15" s="2"/>
      <x:c r="C15" s="2"/>
      <x:c r="D15" s="2"/>
      <x:c r="E15" s="2"/>
      <x:c r="F15" s="2"/>
    </x:row>
    <x:row r="16" ht="25" customHeight="1">
      <x:c r="A16" s="4" t="str">
        <x:v>No network tier pricing: fixed benefits are scheduled cash amounts. Verify whether any negotiated discount program applies.</x:v>
      </x:c>
      <x:c r="B16" s="2"/>
      <x:c r="C16" s="2"/>
      <x:c r="D16" s="2"/>
      <x:c r="E16" s="2"/>
      <x:c r="F16" s="2"/>
    </x:row>
    <x:row r="17" ht="25" customHeight="1">
      <x:c r="A17" s="2"/>
      <x:c r="B17" s="2"/>
      <x:c r="C17" s="2"/>
      <x:c r="D17" s="2"/>
      <x:c r="E17" s="2"/>
      <x:c r="F17" s="2"/>
    </x:row>
    <x:row r="18" ht="25" customHeight="1">
      <x:c r="A18" s="2"/>
      <x:c r="B18" s="2"/>
      <x:c r="C18" s="2"/>
      <x:c r="D18" s="2"/>
      <x:c r="E18" s="2"/>
      <x:c r="F18" s="2"/>
    </x:row>
  </x:sheetData>
  <x:pageMargins left="0.7" right="0.7" top="0.75" bottom="0.75" header="0.3" footer="0.3"/>
  <x:tableParts count="1">
    <x:tablePart xmlns:r="http://schemas.openxmlformats.org/officeDocument/2006/relationships" r:id="Rc07dcf40b18c408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40" hidden="0" customWidth="1"/>
    <x:col min="3" max="3" width="40" hidden="0" customWidth="1"/>
    <x:col min="4" max="4" width="40" hidden="0" customWidth="1"/>
    <x:col min="5" max="5" width="40" hidden="0" customWidth="1"/>
    <x:col min="6" max="6" width="62" hidden="0" customWidth="1"/>
    <x:col min="7" max="7" width="16" hidden="0" customWidth="1"/>
  </x:cols>
  <x:sheetData>
    <x:row r="1" ht="25" customHeight="1">
      <x:c r="A1" s="2"/>
      <x:c r="B1" s="2"/>
      <x:c r="C1" s="2"/>
      <x:c r="D1" s="2"/>
      <x:c r="E1" s="2"/>
      <x:c r="F1" s="2"/>
      <x:c r="G1" s="2"/>
    </x:row>
    <x:row r="2" ht="30" customHeight="1">
      <x:c r="A2" s="3" t="str">
        <x:v>National network overview and selected market access</x:v>
      </x:c>
      <x:c r="B2" s="2"/>
      <x:c r="C2" s="2"/>
      <x:c r="D2" s="2"/>
      <x:c r="E2" s="2"/>
      <x:c r="F2" s="2"/>
      <x:c r="G2" s="2"/>
    </x:row>
    <x:row r="3" ht="25" customHeight="1">
      <x:c r="A3" s="2"/>
      <x:c r="B3" s="2"/>
      <x:c r="C3" s="2"/>
      <x:c r="D3" s="2"/>
      <x:c r="E3" s="2"/>
      <x:c r="F3" s="2"/>
      <x:c r="G3" s="2"/>
    </x:row>
    <x:row r="4" ht="25" customHeight="1">
      <x:c r="A4" s="4" t="str">
        <x:v>Hospital network lists are preliminary evidence, not confirmation of these exact third-party products. Reviewed September 20, 2026.</x:v>
      </x:c>
      <x:c r="B4" s="2"/>
      <x:c r="C4" s="2"/>
      <x:c r="D4" s="2"/>
      <x:c r="E4" s="2"/>
      <x:c r="F4" s="2"/>
      <x:c r="G4" s="2"/>
    </x:row>
    <x:row r="5" ht="25" customHeight="1">
      <x:c r="A5" s="4" t="str">
        <x:v>No provider-density study supports a best-network ranking. Unreviewed areas are not proven coverage gaps.</x:v>
      </x:c>
      <x:c r="B5" s="2"/>
      <x:c r="C5" s="2"/>
      <x:c r="D5" s="2"/>
      <x:c r="E5" s="2"/>
      <x:c r="F5" s="2"/>
      <x:c r="G5" s="2"/>
    </x:row>
    <x:row r="6" ht="25" customHeight="1">
      <x:c r="A6" s="2"/>
      <x:c r="B6" s="2"/>
      <x:c r="C6" s="2"/>
      <x:c r="D6" s="2"/>
      <x:c r="E6" s="2"/>
      <x:c r="F6" s="2"/>
      <x:c r="G6" s="2"/>
    </x:row>
    <x:row r="7" ht="25" customHeight="1">
      <x:c r="A7" s="8" t="str">
        <x:v>Network</x:v>
      </x:c>
      <x:c r="B7" s="8" t="str">
        <x:v>Plans</x:v>
      </x:c>
      <x:c r="C7" s="8" t="str">
        <x:v>Dallas</x:v>
      </x:c>
      <x:c r="D7" s="8" t="str">
        <x:v>Houston</x:v>
      </x:c>
      <x:c r="E7" s="8" t="str">
        <x:v>Fort Lauderdale</x:v>
      </x:c>
      <x:c r="F7" s="8" t="str">
        <x:v>Restrictions and missing information</x:v>
      </x:c>
      <x:c r="G7" s="8" t="str">
        <x:v>Sources</x:v>
      </x:c>
    </x:row>
    <x:row r="8" ht="135" customHeight="1">
      <x:c r="A8" s="13" t="str">
        <x:v>Cigna</x:v>
      </x:c>
      <x:c r="B8" s="13" t="str">
        <x:v>MedPerformance; Amerus EPO/PPO/HSA when included</x:v>
      </x:c>
      <x:c r="C8" s="13" t="str">
        <x:v>UT Southwestern lists Cigna HMO/OAP/PPO. Exact product unverified.</x:v>
      </x:c>
      <x:c r="D8" s="13" t="str">
        <x:v>Houston Methodist Willowbrook lists Cigna PPO/OAP. Exact product unverified.</x:v>
      </x:c>
      <x:c r="E8" s="13" t="str">
        <x:v>Broward Health lists Cigna for hospitals and physicians. Exact product unverified.</x:v>
      </x:c>
      <x:c r="F8" s="13" t="str">
        <x:v>Exact Cigna network selection and third-party plan acceptance still required. EPO excludes routine OON care; PPO benefits vary.</x:v>
      </x:c>
      <x:c r="G8" s="13" t="str">
        <x:v>W1, W2, W3</x:v>
      </x:c>
    </x:row>
    <x:row r="9" ht="135" customHeight="1">
      <x:c r="A9" s="13" t="str">
        <x:v>First Health</x:v>
      </x:c>
      <x:c r="B9" s="13" t="str">
        <x:v>MedMax; MedAccess; Everest Prime</x:v>
      </x:c>
      <x:c r="C9" s="13" t="str">
        <x:v>UT Southwestern lists Coventry/First Health HMO/PPO. Exact product unverified.</x:v>
      </x:c>
      <x:c r="D9" s="13" t="str">
        <x:v>Houston Methodist Willowbrook lists First Health PPO. Exact product unverified.</x:v>
      </x:c>
      <x:c r="E9" s="13" t="str">
        <x:v>Broward Health lists First Health Aetna Network for hospitals and physicians.</x:v>
      </x:c>
      <x:c r="F9" s="13" t="str">
        <x:v>MedMax/MedAccess OON terms not supplied. Everest is fixed indemnity despite PPO access.</x:v>
      </x:c>
      <x:c r="G9" s="13" t="str">
        <x:v>W1, W2, W3, W5</x:v>
      </x:c>
    </x:row>
    <x:row r="10" ht="135" customHeight="1">
      <x:c r="A10" s="13" t="str">
        <x:v>PHCS PPO</x:v>
      </x:c>
      <x:c r="B10" s="13" t="str">
        <x:v>All Life-X plans</x:v>
      </x:c>
      <x:c r="C10" s="13" t="str">
        <x:v>UT Southwestern excludes several PHCS limited-benefit and restricted network logos. Confirm exact Life-X access.</x:v>
      </x:c>
      <x:c r="D10" s="13" t="str">
        <x:v>Houston Methodist Willowbrook lists PHCS PPO. Exact product unverified.</x:v>
      </x:c>
      <x:c r="E10" s="13" t="str">
        <x:v>Current local hospital participation not established by reviewed sources. This does not establish absence.</x:v>
      </x:c>
      <x:c r="F10" s="13" t="str">
        <x:v>PHCS configurations differ. A national logo does not establish hospital inclusion.</x:v>
      </x:c>
      <x:c r="G10" s="13" t="str">
        <x:v>W1, W2, W4</x:v>
      </x:c>
    </x:row>
    <x:row r="11" ht="135" customHeight="1">
      <x:c r="A11" s="13" t="str">
        <x:v>PHCS Extended PPO</x:v>
      </x:c>
      <x:c r="B11" s="13" t="str">
        <x:v>AFI HSA/Copay; BMI MVP/DVP/MEC</x:v>
      </x:c>
      <x:c r="C11" s="13" t="str">
        <x:v>Exact Extended participation unverified.</x:v>
      </x:c>
      <x:c r="D11" s="13" t="str">
        <x:v>Exact Extended participation unverified.</x:v>
      </x:c>
      <x:c r="E11" s="13" t="str">
        <x:v>Exact Extended participation unverified.</x:v>
      </x:c>
      <x:c r="F11" s="13" t="str">
        <x:v>Guide requires PHCS Extended selector; standard PHCS hospital lists do not establish this product.</x:v>
      </x:c>
      <x:c r="G11" s="13" t="str">
        <x:v>S62, S56</x:v>
      </x:c>
    </x:row>
    <x:row r="12" ht="135" customHeight="1">
      <x:c r="A12" s="13" t="str">
        <x:v>PHCS Practitioner &amp; Ancillary</x:v>
      </x:c>
      <x:c r="B12" s="13" t="str">
        <x:v>Vault Bronze 2 and Silver 2</x:v>
      </x:c>
      <x:c r="C12" s="13" t="str">
        <x:v>Professional/ancillary access only; hospitals reference priced.</x:v>
      </x:c>
      <x:c r="D12" s="13" t="str">
        <x:v>Professional/ancillary access only; hospitals reference priced.</x:v>
      </x:c>
      <x:c r="E12" s="13" t="str">
        <x:v>Professional/ancillary access only; hospitals reference priced.</x:v>
      </x:c>
      <x:c r="F12" s="13" t="str">
        <x:v>140% of Medicare facility reference rate; possible balance billing beyond OOP.</x:v>
      </x:c>
      <x:c r="G12" s="13" t="str">
        <x:v>S59, S60</x:v>
      </x:c>
    </x:row>
    <x:row r="13" ht="135" customHeight="1">
      <x:c r="A13" s="13" t="str">
        <x:v>First Health primary / MultiPlan secondary</x:v>
      </x:c>
      <x:c r="B13" s="13" t="str">
        <x:v>Vault Elite Health Plus</x:v>
      </x:c>
      <x:c r="C13" s="13" t="str">
        <x:v>Specific product unverified.</x:v>
      </x:c>
      <x:c r="D13" s="13" t="str">
        <x:v>Specific product unverified.</x:v>
      </x:c>
      <x:c r="E13" s="13" t="str">
        <x:v>Specific product unverified.</x:v>
      </x:c>
      <x:c r="F13" s="13" t="str">
        <x:v>Facilities reference priced; OON not covered.</x:v>
      </x:c>
      <x:c r="G13" s="13" t="str">
        <x:v>S58</x:v>
      </x:c>
    </x:row>
    <x:row r="14" ht="135" customHeight="1">
      <x:c r="A14" s="13" t="str">
        <x:v>Unidentified</x:v>
      </x:c>
      <x:c r="B14" s="13" t="str">
        <x:v>Bloom Plans 1-7</x:v>
      </x:c>
      <x:c r="C14" s="13" t="str">
        <x:v>Not verified</x:v>
      </x:c>
      <x:c r="D14" s="13" t="str">
        <x:v>Not verified</x:v>
      </x:c>
      <x:c r="E14" s="13" t="str">
        <x:v>Not verified</x:v>
      </x:c>
      <x:c r="F14" s="13" t="str">
        <x:v>No medical PPO/EPO network identified in brochures. Lyric virtual care is a separate service.</x:v>
      </x:c>
      <x:c r="G14" s="13" t="str">
        <x:v>S33-S39</x:v>
      </x:c>
    </x:row>
    <x:row r="15" ht="25" customHeight="1">
      <x:c r="A15" s="2"/>
      <x:c r="B15" s="2"/>
      <x:c r="C15" s="2"/>
      <x:c r="D15" s="2"/>
      <x:c r="E15" s="2"/>
      <x:c r="F15" s="2"/>
      <x:c r="G15" s="2"/>
    </x:row>
    <x:row r="16" ht="25" customHeight="1">
      <x:c r="A16" s="2"/>
      <x:c r="B16" s="2"/>
      <x:c r="C16" s="2"/>
      <x:c r="D16" s="2"/>
      <x:c r="E16" s="2"/>
      <x:c r="F16" s="2"/>
      <x:c r="G16" s="2"/>
    </x:row>
    <x:row r="17" ht="45" customHeight="1">
      <x:c r="A17" s="8" t="str">
        <x:v>Network</x:v>
      </x:c>
      <x:c r="B17" s="8" t="str">
        <x:v>Plans</x:v>
      </x:c>
      <x:c r="C17" s="8" t="str">
        <x:v>National scope</x:v>
      </x:c>
      <x:c r="D17" s="8" t="str">
        <x:v>Favorable documented access</x:v>
      </x:c>
      <x:c r="E17" s="8" t="str">
        <x:v>Gaps and least certain access</x:v>
      </x:c>
      <x:c r="F17" s="8" t="str">
        <x:v>Sources</x:v>
      </x:c>
      <x:c r="G17" s="2"/>
    </x:row>
    <x:row r="18" ht="220" customHeight="1">
      <x:c r="A18" s="13" t="str">
        <x:v>Cigna</x:v>
      </x:c>
      <x:c r="B18" s="13" t="str">
        <x:v>MedPerformance; Amerus Ultimate EPO/PPO/HSA when included</x:v>
      </x:c>
      <x:c r="C18" s="13" t="str">
        <x:v>The supplied Amerus Outlook email confirms Marpai administers medical claims, Cigna provides the provider network, and VerusRx handles pharmacy benefits. Ultimate EPO/PPO use Cigna PPO; the EPO design pays routine care in network only, while Ultimate PPO has OON benefits. Exact network configuration remains to be verified in member directory.</x:v>
      </x:c>
      <x:c r="D18" s="13" t="str">
        <x:v>Documented hospital access examples span the West Coast, Texas, South Florida and Northeast Ohio: UCLA, UW Medicine, UT Southwestern, Houston Methodist Willowbrook, Broward Health and Cleveland Clinic list Cigna. These are favorable regional signals, not measured state rankings.</x:v>
      </x:c>
      <x:c r="E18" s="13" t="str">
        <x:v>UW Medicine excludes Cigna Behavioral Health/Evernorth Behavioral Health. That service-specific exception does not negate its medical Cigna participation. Remaining states, Alaska, Hawaii, rural counties and exact third-party products have no density ranking in this review.</x:v>
      </x:c>
      <x:c r="F18" s="13" t="str">
        <x:v>W1 W2 W3 W6 W7 W8 W11 O1 O2</x:v>
      </x:c>
      <x:c r="G18" s="2"/>
    </x:row>
    <x:row r="19" ht="220" customHeight="1">
      <x:c r="A19" s="13" t="str">
        <x:v>First Health PPO</x:v>
      </x:c>
      <x:c r="B19" s="13" t="str">
        <x:v>MedMax; MedAccess; Everest AFEUSA Prime; Vault Elite Health Plus (primary)</x:v>
      </x:c>
      <x:c r="C19" s="13" t="str">
        <x:v>National PPO access with documented examples on both coasts and in Texas. MedAccess names First Health but its precise network arrangement still needs confirmation. Everest uses PPO discount access alongside fixed indemnity payments.</x:v>
      </x:c>
      <x:c r="D19" s="13" t="str">
        <x:v>UCLA, UW Medicine, UT Southwestern, Houston Methodist Willowbrook, Broward Health and the Massachusetts General Hospital list provide favorable access evidence in Los Angeles, Seattle, Dallas, Houston, Broward County and Boston. Participation must be checked for the actual product.</x:v>
      </x:c>
      <x:c r="E19" s="13" t="str">
        <x:v>A June 2025 First Health notice terminated Cleveland Clinic facilities and employed providers effective July 1, 2025, including Northeast Ohio and Weston, Martin and Indian River facilities in Florida. Treat these as specific caution locations and recheck for reinstatement; they do not make all Ohio or Florida out of network. The available plan materials do not include a Premier PPO benefit/rate sheet; it is not added as a plan.</x:v>
      </x:c>
      <x:c r="F19" s="13" t="str">
        <x:v>W1 W2 W3 W5 W7 W8 W9 W10</x:v>
      </x:c>
      <x:c r="G19" s="2"/>
    </x:row>
    <x:row r="20" ht="220" customHeight="1">
      <x:c r="A20" s="13" t="str">
        <x:v>PHCS PPO</x:v>
      </x:c>
      <x:c r="B20" s="13" t="str">
        <x:v>Life-X MM/HSA/VL/PHCS PPO; BMI MVP/DVP/MEC and AFI PHCS use PHCS Extended per guide, exact configuration unverified</x:v>
      </x:c>
      <x:c r="C20" s="13" t="str">
        <x:v>Claritev describes PHCS as a nationwide primary PPO with configurable access. Practitioner-only, ancillary and limited-benefit arrangements can differ substantially from a full hospital PPO. Do not substitute the broader MultiPlan logo for PHCS acceptance.</x:v>
      </x:c>
      <x:c r="D20" s="13" t="str">
        <x:v>Favorable examples include UCLA in Los Angeles, Houston Methodist Willowbrook and Massachusetts General Hospital in Boston. These establish selected urban access points; they do not demonstrate which state has the most providers or confirm a Life-X contract.</x:v>
      </x:c>
      <x:c r="E20" s="13" t="str">
        <x:v>UW Medicine explicitly states that it does not participate in PHCS. UT Southwestern excludes several restricted PHCS arrangements, including limited-benefit networks. Dallas access therefore depends on the exact Life-X network configuration. Broward participation was not established from the current sources reviewed.</x:v>
      </x:c>
      <x:c r="F20" s="13" t="str">
        <x:v>W1 W2 W4 W7 W8 W9</x:v>
      </x:c>
      <x:c r="G20" s="2"/>
    </x:row>
    <x:row r="21" ht="220" customHeight="1">
      <x:c r="A21" s="13" t="str">
        <x:v>PHCS Extended PPO (AFI/BMI designation)</x:v>
      </x:c>
      <x:c r="B21" s="13" t="str">
        <x:v>AFI 8300/3500 HSA and 3500/4500 Copay; BMI MVP Basic/Value/Advantage, DVP Essentials and MEC</x:v>
      </x:c>
      <x:c r="C21" s="13" t="str">
        <x:v>The uploaded group association lookup guide instructs a PHCS Extended PPO search. BMI brochure says PHCS without a subtype. These labels do not establish that every hospital in a standard PHCS PPO directory participates in the Extended configuration.</x:v>
      </x:c>
      <x:c r="D21" s="13" t="str">
        <x:v>Use the exact PHCS Extended PPO selector and search a specific hospital, clinician and specialty. The supplied guide is evidence of a lookup process, not a national provider census.</x:v>
      </x:c>
      <x:c r="E21" s="13" t="str">
        <x:v>No state-by-state density, county coverage or verified hospital list for these exact plans was supplied. This network is not ranked; no state can be labeled uncovered from these files.</x:v>
      </x:c>
      <x:c r="F21" s="13" t="str">
        <x:v>S62 S56 W4</x:v>
      </x:c>
      <x:c r="G21" s="2"/>
    </x:row>
    <x:row r="22" ht="220" customHeight="1">
      <x:c r="A22" s="13" t="str">
        <x:v>PHCS Practitioner &amp; Ancillary / facility reference pricing</x:v>
      </x:c>
      <x:c r="B22" s="13" t="str">
        <x:v>Vault Bronze 2 and Silver 2</x:v>
      </x:c>
      <x:c r="C22" s="13" t="str">
        <x:v>The Vault schedules name PHCS Practitioner &amp; Ancillary for professional/ancillary services. Hospitals are paid through reference-based pricing at 140% of Medicare allowable amount, outside a contracted hospital PPO network.</x:v>
      </x:c>
      <x:c r="D22" s="13" t="str">
        <x:v>The supplied schedules do not substantiate a nationwide list of participating physicians or facilities for the exact plan. Verify physicians individually.</x:v>
      </x:c>
      <x:c r="E22" s="13" t="str">
        <x:v>A hospital may reject the reference payment and balance bill; those charges are outside the stated out-of-pocket maximum. No defensible state coverage ranking or guaranteed hospital access is available.</x:v>
      </x:c>
      <x:c r="F22" s="13" t="str">
        <x:v>S59 S60 S61</x:v>
      </x:c>
      <x:c r="G22" s="2"/>
    </x:row>
    <x:row r="23" ht="220" customHeight="1">
      <x:c r="A23" s="13" t="str">
        <x:v>Vault Elite Plus dual access / facility reference pricing</x:v>
      </x:c>
      <x:c r="B23" s="13" t="str">
        <x:v>Vault Elite Health Plus</x:v>
      </x:c>
      <x:c r="C23" s="13" t="str">
        <x:v>The schedule names First Health as primary and MultiPlan as secondary for provider access; facilities use reference-based pricing. A First Health logo alone does not establish facility payment acceptance.</x:v>
      </x:c>
      <x:c r="D23" s="13" t="str">
        <x:v>First Health selected facility examples are shown on its separate map, but Vault Plus participation for the exact product has not been verified.</x:v>
      </x:c>
      <x:c r="E23" s="13" t="str">
        <x:v>Out-of-network benefits are listed as not covered. Balance billing is possible when a facility rejects the reference payment. The precise secondary MultiPlan configuration and national density are unverified.</x:v>
      </x:c>
      <x:c r="F23" s="13" t="str">
        <x:v>S58 W5</x:v>
      </x:c>
      <x:c r="G23" s="2"/>
    </x:row>
    <x:row r="24" ht="220" customHeight="1">
      <x:c r="A24" s="13" t="str">
        <x:v>Bloom fixed indemnity (no medical network)</x:v>
      </x:c>
      <x:c r="B24" s="13" t="str">
        <x:v>Bloom Plans 1 through 7</x:v>
      </x:c>
      <x:c r="C24" s="13" t="str">
        <x:v>Bloom is a scheduled fixed indemnity product, not a major medical PPO/EPO plan. No contracted medical provider network is identified or required for its fixed benefit design; a member may use providers broadly, subject to certificate terms and actual provider billing/acceptance.</x:v>
      </x:c>
      <x:c r="D24" s="13" t="str">
        <x:v>A national in-network footprint ranking does not apply to a fixed cash benefit. Benefits follow the schedule rather than negotiated network cost sharing.</x:v>
      </x:c>
      <x:c r="E24" s="13" t="str">
        <x:v>Payment is limited to the scheduled amount. The member may owe the balance of the provider charge; “can use any provider” does not mean the plan pays any provider bill in full. Confirm any discount arrangements and assignment terms with Lucida.</x:v>
      </x:c>
      <x:c r="F24" s="13" t="str">
        <x:v>S33 through S39; U1</x:v>
      </x:c>
      <x:c r="G24" s="2"/>
    </x:row>
    <x:row r="25" ht="25" customHeight="1">
      <x:c r="A25" s="2"/>
      <x:c r="B25" s="2"/>
      <x:c r="C25" s="2"/>
      <x:c r="D25" s="2"/>
      <x:c r="E25" s="2"/>
      <x:c r="F25" s="2"/>
      <x:c r="G25" s="2"/>
    </x:row>
    <x:row r="26" ht="25" customHeight="1">
      <x:c r="A26" s="2"/>
      <x:c r="B26" s="2"/>
      <x:c r="C26" s="2"/>
      <x:c r="D26" s="2"/>
      <x:c r="E26" s="2"/>
      <x:c r="F26" s="2"/>
      <x:c r="G26" s="2"/>
    </x:row>
    <x:row r="27" ht="25" customHeight="1">
      <x:c r="A27" s="4" t="str">
        <x:v>National maps are supplied in the accompanying atlas. Dots mark reviewed facilities, not provider density or statewide coverage.</x:v>
      </x:c>
      <x:c r="B27" s="2"/>
      <x:c r="C27" s="2"/>
      <x:c r="D27" s="2"/>
      <x:c r="E27" s="2"/>
      <x:c r="F27" s="2"/>
      <x:c r="G27" s="2"/>
    </x:row>
    <x:row r="28" ht="25" customHeight="1">
      <x:c r="A28" s="2"/>
      <x:c r="B28" s="2"/>
      <x:c r="C28" s="2"/>
      <x:c r="D28" s="2"/>
      <x:c r="E28" s="2"/>
      <x:c r="F28" s="2"/>
      <x:c r="G28" s="2"/>
    </x:row>
    <x:row r="29" ht="25" customHeight="1">
      <x:c r="A29" s="2"/>
      <x:c r="B29" s="2"/>
      <x:c r="C29" s="2"/>
      <x:c r="D29" s="2"/>
      <x:c r="E29" s="2"/>
      <x:c r="F29" s="2"/>
      <x:c r="G29" s="2"/>
    </x:row>
    <x:row r="30" ht="25" customHeight="1">
      <x:c r="A30" s="2"/>
      <x:c r="B30" s="2"/>
      <x:c r="C30" s="2"/>
      <x:c r="D30" s="2"/>
      <x:c r="E30" s="2"/>
      <x:c r="F30" s="2"/>
      <x:c r="G30" s="2"/>
    </x:row>
    <x:row r="31" ht="25" customHeight="1">
      <x:c r="A31" s="2"/>
      <x:c r="B31" s="2"/>
      <x:c r="C31" s="2"/>
      <x:c r="D31" s="2"/>
      <x:c r="E31" s="2"/>
      <x:c r="F31" s="2"/>
      <x:c r="G31" s="2"/>
    </x:row>
    <x:row r="32" ht="25" customHeight="1">
      <x:c r="A32" s="2"/>
      <x:c r="B32" s="2"/>
      <x:c r="C32" s="2"/>
      <x:c r="D32" s="2"/>
      <x:c r="E32" s="2"/>
      <x:c r="F32" s="2"/>
      <x:c r="G32" s="2"/>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7" hidden="0" customWidth="1"/>
    <x:col min="2" max="2" width="15" hidden="0" customWidth="1"/>
    <x:col min="3" max="3" width="3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88" hidden="0" customWidth="1"/>
    <x:col min="11" max="11" width="16" hidden="0" customWidth="1"/>
    <x:col min="12" max="12" width="16" hidden="0" customWidth="1"/>
  </x:cols>
  <x:sheetData>
    <x:row r="1" ht="25" customHeight="1">
      <x:c r="A1" s="2"/>
      <x:c r="B1" s="2"/>
      <x:c r="C1" s="2"/>
      <x:c r="D1" s="2"/>
      <x:c r="E1" s="2"/>
      <x:c r="F1" s="2"/>
      <x:c r="G1" s="2"/>
      <x:c r="H1" s="2"/>
      <x:c r="I1" s="2"/>
      <x:c r="J1" s="2"/>
      <x:c r="K1" s="2"/>
      <x:c r="L1" s="2"/>
    </x:row>
    <x:row r="2" ht="30" customHeight="1">
      <x:c r="A2" s="3" t="str">
        <x:v>Published premium inputs</x:v>
      </x:c>
      <x:c r="B2" s="2"/>
      <x:c r="C2" s="2"/>
      <x:c r="D2" s="2"/>
      <x:c r="E2" s="2"/>
      <x:c r="F2" s="2"/>
      <x:c r="G2" s="2"/>
      <x:c r="H2" s="2"/>
      <x:c r="I2" s="2"/>
      <x:c r="J2" s="2"/>
      <x:c r="K2" s="2"/>
      <x:c r="L2" s="2"/>
    </x:row>
    <x:row r="3" ht="25" customHeight="1">
      <x:c r="A3" s="2"/>
      <x:c r="B3" s="2"/>
      <x:c r="C3" s="2"/>
      <x:c r="D3" s="2"/>
      <x:c r="E3" s="2"/>
      <x:c r="F3" s="2"/>
      <x:c r="G3" s="2"/>
      <x:c r="H3" s="2"/>
      <x:c r="I3" s="2"/>
      <x:c r="J3" s="2"/>
      <x:c r="K3" s="2"/>
      <x:c r="L3" s="2"/>
    </x:row>
    <x:row r="4" ht="25" customHeight="1">
      <x:c r="A4" s="4" t="str">
        <x:v>A: female 40 + children 8 and 12. B: male 50. C: male 50 + female spouse 50 + child 12.</x:v>
      </x:c>
      <x:c r="B4" s="2"/>
      <x:c r="C4" s="2"/>
      <x:c r="D4" s="2"/>
      <x:c r="E4" s="2"/>
      <x:c r="F4" s="2"/>
      <x:c r="G4" s="2"/>
      <x:c r="H4" s="2"/>
      <x:c r="I4" s="2"/>
      <x:c r="J4" s="2"/>
      <x:c r="K4" s="2"/>
      <x:c r="L4" s="2"/>
    </x:row>
    <x:row r="5" ht="25" customHeight="1">
      <x:c r="A5" s="4" t="str">
        <x:v>Assumed non-tobacco. Applicant age determines displayed band; family-tier eligibility requires confirmation.</x:v>
      </x:c>
      <x:c r="B5" s="2"/>
      <x:c r="C5" s="2"/>
      <x:c r="D5" s="2"/>
      <x:c r="E5" s="2"/>
      <x:c r="F5" s="2"/>
      <x:c r="G5" s="2"/>
      <x:c r="H5" s="2"/>
      <x:c r="I5" s="2"/>
      <x:c r="J5" s="2"/>
      <x:c r="K5" s="2"/>
      <x:c r="L5" s="2"/>
    </x:row>
    <x:row r="6" ht="25" customHeight="1">
      <x:c r="A6" s="4" t="str">
        <x:v>Comparison reference date: October 1, 2026. Source premium dates and mandatory fees may differ; annual values are monthly premium x 12.</x:v>
      </x:c>
      <x:c r="B6" s="2"/>
      <x:c r="C6" s="2"/>
      <x:c r="D6" s="2"/>
      <x:c r="E6" s="2"/>
      <x:c r="F6" s="2"/>
      <x:c r="G6" s="2"/>
      <x:c r="H6" s="2"/>
      <x:c r="I6" s="2"/>
      <x:c r="J6" s="2"/>
      <x:c r="K6" s="2"/>
      <x:c r="L6" s="2"/>
    </x:row>
    <x:row r="7" ht="25" customHeight="1">
      <x:c r="A7" s="2"/>
      <x:c r="B7" s="2"/>
      <x:c r="C7" s="2"/>
      <x:c r="D7" s="2"/>
      <x:c r="E7" s="2"/>
      <x:c r="F7" s="2"/>
      <x:c r="G7" s="2"/>
      <x:c r="H7" s="2"/>
      <x:c r="I7" s="2"/>
      <x:c r="J7" s="2"/>
      <x:c r="K7" s="2"/>
      <x:c r="L7" s="2"/>
    </x:row>
    <x:row r="8" ht="42" customHeight="1">
      <x:c r="A8" s="8" t="str">
        <x:v>ID</x:v>
      </x:c>
      <x:c r="B8" s="8" t="str">
        <x:v>Entity</x:v>
      </x:c>
      <x:c r="C8" s="8" t="str">
        <x:v>Plan</x:v>
      </x:c>
      <x:c r="D8" s="8" t="str">
        <x:v>A monthly</x:v>
      </x:c>
      <x:c r="E8" s="8" t="str">
        <x:v>B monthly</x:v>
      </x:c>
      <x:c r="F8" s="8" t="str">
        <x:v>C monthly</x:v>
      </x:c>
      <x:c r="G8" s="8" t="str">
        <x:v>A annual</x:v>
      </x:c>
      <x:c r="H8" s="8" t="str">
        <x:v>B annual</x:v>
      </x:c>
      <x:c r="I8" s="8" t="str">
        <x:v>C annual</x:v>
      </x:c>
      <x:c r="J8" s="8" t="str">
        <x:v>Rate status and basis</x:v>
      </x:c>
      <x:c r="K8" s="8" t="str">
        <x:v>Source</x:v>
      </x:c>
      <x:c r="L8" s="8" t="str">
        <x:v>Rate page</x:v>
      </x:c>
    </x:row>
    <x:row r="9" ht="65" customHeight="1">
      <x:c r="A9" s="9" t="str">
        <x:v>P30</x:v>
      </x:c>
      <x:c r="B9" s="9" t="str">
        <x:v>Amerus</x:v>
      </x:c>
      <x:c r="C9" s="9" t="str">
        <x:v>Ultimate PPO</x:v>
      </x:c>
      <x:c r="D9" s="10" t="n">
        <x:v>1699</x:v>
      </x:c>
      <x:c r="E9" s="10" t="n">
        <x:v>949</x:v>
      </x:c>
      <x:c r="F9" s="10" t="n">
        <x:v>2299</x:v>
      </x:c>
      <x:c r="G9" s="10" t="n">
        <x:f>IF(ISNUMBER(D9),D9*12,"Unverified")</x:f>
        <x:v>20388</x:v>
      </x:c>
      <x:c r="H9" s="10" t="n">
        <x:f>IF(ISNUMBER(E9),E9*12,"Unverified")</x:f>
        <x:v>11388</x:v>
      </x:c>
      <x:c r="I9" s="10" t="n">
        <x:f>IF(ISNUMBER(F9),F9*12,"Unverified")</x:f>
        <x:v>27588</x:v>
      </x:c>
      <x:c r="J9" s="12" t="str">
        <x:v>Fixed household composite tiers from Outlook email 2026-09-15; A Employee + Children, B Individual, C Family. Not age-rated. TX/FL eligibility and effective-date confirmation not provided.</x:v>
      </x:c>
      <x:c r="K9" s="9" t="str">
        <x:v>S08</x:v>
      </x:c>
      <x:c r="L9" s="9" t="str">
        <x:v>Brochure 2</x:v>
      </x:c>
    </x:row>
    <x:row r="10" ht="65" customHeight="1">
      <x:c r="A10" s="2" t="str">
        <x:v>P14</x:v>
      </x:c>
      <x:c r="B10" s="2" t="str">
        <x:v>Life-X</x:v>
      </x:c>
      <x:c r="C10" s="2" t="str">
        <x:v>MM 1000</x:v>
      </x:c>
      <x:c r="D10" s="11" t="n">
        <x:v>1368</x:v>
      </x:c>
      <x:c r="E10" s="11" t="n">
        <x:v>875</x:v>
      </x:c>
      <x:c r="F10" s="11" t="n">
        <x:v>2245</x:v>
      </x:c>
      <x:c r="G10" s="11" t="n">
        <x:f>IF(ISNUMBER(D10),D10*12,"Unverified")</x:f>
        <x:v>16416</x:v>
      </x:c>
      <x:c r="H10" s="11" t="n">
        <x:f>IF(ISNUMBER(E10),E10*12,"Unverified")</x:f>
        <x:v>10500</x:v>
      </x:c>
      <x:c r="I10" s="11" t="n">
        <x:f>IF(ISNUMBER(F10),F10*12,"Unverified")</x:f>
        <x:v>26940</x:v>
      </x:c>
      <x:c r="J10" s="13" t="str">
        <x:v>Rates effective January 1, 2026; applicant age bands 30-44 / 45-54; no sex, tobacco or ZIP adjustments shown. State eligibility unverified.</x:v>
      </x:c>
      <x:c r="K10" s="2" t="str">
        <x:v>S30</x:v>
      </x:c>
      <x:c r="L10" s="2" t="str">
        <x:v>6</x:v>
      </x:c>
    </x:row>
    <x:row r="11" ht="65" customHeight="1">
      <x:c r="A11" s="9" t="str">
        <x:v>P03</x:v>
      </x:c>
      <x:c r="B11" s="9" t="str">
        <x:v>Life-X</x:v>
      </x:c>
      <x:c r="C11" s="9" t="str">
        <x:v>MM 2500</x:v>
      </x:c>
      <x:c r="D11" s="10" t="n">
        <x:v>1194</x:v>
      </x:c>
      <x:c r="E11" s="10" t="n">
        <x:v>758</x:v>
      </x:c>
      <x:c r="F11" s="10" t="n">
        <x:v>1907</x:v>
      </x:c>
      <x:c r="G11" s="10" t="n">
        <x:f>IF(ISNUMBER(D11),D11*12,"Unverified")</x:f>
        <x:v>14328</x:v>
      </x:c>
      <x:c r="H11" s="10" t="n">
        <x:f>IF(ISNUMBER(E11),E11*12,"Unverified")</x:f>
        <x:v>9096</x:v>
      </x:c>
      <x:c r="I11" s="10" t="n">
        <x:f>IF(ISNUMBER(F11),F11*12,"Unverified")</x:f>
        <x:v>22884</x:v>
      </x:c>
      <x:c r="J11" s="12" t="str">
        <x:v>Rates effective January 1, 2026; applicant age bands 30-44 / 45-54; no sex, tobacco or ZIP adjustments shown. State eligibility unverified.</x:v>
      </x:c>
      <x:c r="K11" s="9" t="str">
        <x:v>S19</x:v>
      </x:c>
      <x:c r="L11" s="9" t="str">
        <x:v>6</x:v>
      </x:c>
    </x:row>
    <x:row r="12" ht="65" customHeight="1">
      <x:c r="A12" s="2" t="str">
        <x:v>P17</x:v>
      </x:c>
      <x:c r="B12" s="2" t="str">
        <x:v>EnrollPrime</x:v>
      </x:c>
      <x:c r="C12" s="2" t="str">
        <x:v>MedPerformance 3500 Classic</x:v>
      </x:c>
      <x:c r="D12" s="11" t="n">
        <x:v>1311.79</x:v>
      </x:c>
      <x:c r="E12" s="11" t="n">
        <x:v>807.98</x:v>
      </x:c>
      <x:c r="F12" s="11" t="n">
        <x:v>2163.84</x:v>
      </x:c>
      <x:c r="G12" s="11" t="n">
        <x:f>IF(ISNUMBER(D12),D12*12,"Unverified")</x:f>
        <x:v>15741.48</x:v>
      </x:c>
      <x:c r="H12" s="11" t="n">
        <x:f>IF(ISNUMBER(E12),E12*12,"Unverified")</x:f>
        <x:v>9695.76</x:v>
      </x:c>
      <x:c r="I12" s="11" t="n">
        <x:f>IF(ISNUMBER(F12),F12*12,"Unverified")</x:f>
        <x:v>25966.08</x:v>
      </x:c>
      <x:c r="J12" s="13" t="str">
        <x:v>ACH rates; age bands 40-49 / 50-59; no ZIP or sex adjustment shown. Effective date and TX/FL eligibility require confirmation.</x:v>
      </x:c>
      <x:c r="K12" s="2" t="str">
        <x:v>S63</x:v>
      </x:c>
      <x:c r="L12" s="2" t="str">
        <x:v>3</x:v>
      </x:c>
    </x:row>
    <x:row r="13" ht="65" customHeight="1">
      <x:c r="A13" s="9" t="str">
        <x:v>P10</x:v>
      </x:c>
      <x:c r="B13" s="9" t="str">
        <x:v>Life-X</x:v>
      </x:c>
      <x:c r="C13" s="9" t="str">
        <x:v>MM 3500</x:v>
      </x:c>
      <x:c r="D13" s="10" t="n">
        <x:v>1111</x:v>
      </x:c>
      <x:c r="E13" s="10" t="n">
        <x:v>708</x:v>
      </x:c>
      <x:c r="F13" s="10" t="n">
        <x:v>1723</x:v>
      </x:c>
      <x:c r="G13" s="10" t="n">
        <x:f>IF(ISNUMBER(D13),D13*12,"Unverified")</x:f>
        <x:v>13332</x:v>
      </x:c>
      <x:c r="H13" s="10" t="n">
        <x:f>IF(ISNUMBER(E13),E13*12,"Unverified")</x:f>
        <x:v>8496</x:v>
      </x:c>
      <x:c r="I13" s="10" t="n">
        <x:f>IF(ISNUMBER(F13),F13*12,"Unverified")</x:f>
        <x:v>20676</x:v>
      </x:c>
      <x:c r="J13" s="12" t="str">
        <x:v>Rates effective January 1, 2026; applicant age bands 30-44 / 45-54; no sex, tobacco or ZIP adjustments shown. State eligibility unverified.</x:v>
      </x:c>
      <x:c r="K13" s="9" t="str">
        <x:v>S26</x:v>
      </x:c>
      <x:c r="L13" s="9" t="str">
        <x:v>6</x:v>
      </x:c>
    </x:row>
    <x:row r="14" ht="65" customHeight="1">
      <x:c r="A14" s="2" t="str">
        <x:v>P07</x:v>
      </x:c>
      <x:c r="B14" s="2" t="str">
        <x:v>Life-X</x:v>
      </x:c>
      <x:c r="C14" s="2" t="str">
        <x:v>MM 4900</x:v>
      </x:c>
      <x:c r="D14" s="11" t="n">
        <x:v>1021</x:v>
      </x:c>
      <x:c r="E14" s="11" t="n">
        <x:v>658</x:v>
      </x:c>
      <x:c r="F14" s="11" t="n">
        <x:v>1680</x:v>
      </x:c>
      <x:c r="G14" s="11" t="n">
        <x:f>IF(ISNUMBER(D14),D14*12,"Unverified")</x:f>
        <x:v>12252</x:v>
      </x:c>
      <x:c r="H14" s="11" t="n">
        <x:f>IF(ISNUMBER(E14),E14*12,"Unverified")</x:f>
        <x:v>7896</x:v>
      </x:c>
      <x:c r="I14" s="11" t="n">
        <x:f>IF(ISNUMBER(F14),F14*12,"Unverified")</x:f>
        <x:v>20160</x:v>
      </x:c>
      <x:c r="J14" s="13" t="str">
        <x:v>Rates effective January 1, 2026; applicant age bands 30-44 / 45-54; no sex, tobacco or ZIP adjustments shown. State eligibility unverified.</x:v>
      </x:c>
      <x:c r="K14" s="2" t="str">
        <x:v>S23</x:v>
      </x:c>
      <x:c r="L14" s="2" t="str">
        <x:v>6</x:v>
      </x:c>
    </x:row>
    <x:row r="15" ht="65" customHeight="1">
      <x:c r="A15" s="9" t="str">
        <x:v>P18</x:v>
      </x:c>
      <x:c r="B15" s="9" t="str">
        <x:v>EnrollPrime</x:v>
      </x:c>
      <x:c r="C15" s="9" t="str">
        <x:v>MedPerformance 5000 Classic</x:v>
      </x:c>
      <x:c r="D15" s="10" t="n">
        <x:v>1239.8</x:v>
      </x:c>
      <x:c r="E15" s="10" t="n">
        <x:v>765.65</x:v>
      </x:c>
      <x:c r="F15" s="10" t="n">
        <x:v>2039.41</x:v>
      </x:c>
      <x:c r="G15" s="10" t="n">
        <x:f>IF(ISNUMBER(D15),D15*12,"Unverified")</x:f>
        <x:v>14877.599999999999</x:v>
      </x:c>
      <x:c r="H15" s="10" t="n">
        <x:f>IF(ISNUMBER(E15),E15*12,"Unverified")</x:f>
        <x:v>9187.8</x:v>
      </x:c>
      <x:c r="I15" s="10" t="n">
        <x:f>IF(ISNUMBER(F15),F15*12,"Unverified")</x:f>
        <x:v>24472.920000000002</x:v>
      </x:c>
      <x:c r="J15" s="12" t="str">
        <x:v>ACH rates; age bands 40-49 / 50-59; no ZIP or sex adjustment shown. Effective date and TX/FL eligibility require confirmation.</x:v>
      </x:c>
      <x:c r="K15" s="9" t="str">
        <x:v>S64</x:v>
      </x:c>
      <x:c r="L15" s="9" t="str">
        <x:v>3</x:v>
      </x:c>
    </x:row>
    <x:row r="16" ht="65" customHeight="1">
      <x:c r="A16" s="2" t="str">
        <x:v>P11</x:v>
      </x:c>
      <x:c r="B16" s="2" t="str">
        <x:v>Life-X</x:v>
      </x:c>
      <x:c r="C16" s="2" t="str">
        <x:v>MM 7250</x:v>
      </x:c>
      <x:c r="D16" s="11" t="n">
        <x:v>849</x:v>
      </x:c>
      <x:c r="E16" s="11" t="n">
        <x:v>559</x:v>
      </x:c>
      <x:c r="F16" s="11" t="n">
        <x:v>1381</x:v>
      </x:c>
      <x:c r="G16" s="11" t="n">
        <x:f>IF(ISNUMBER(D16),D16*12,"Unverified")</x:f>
        <x:v>10188</x:v>
      </x:c>
      <x:c r="H16" s="11" t="n">
        <x:f>IF(ISNUMBER(E16),E16*12,"Unverified")</x:f>
        <x:v>6708</x:v>
      </x:c>
      <x:c r="I16" s="11" t="n">
        <x:f>IF(ISNUMBER(F16),F16*12,"Unverified")</x:f>
        <x:v>16572</x:v>
      </x:c>
      <x:c r="J16" s="13" t="str">
        <x:v>Rates effective January 1, 2026; applicant age bands 30-44 / 45-54; no sex, tobacco or ZIP adjustments shown. State eligibility unverified.</x:v>
      </x:c>
      <x:c r="K16" s="2" t="str">
        <x:v>S27</x:v>
      </x:c>
      <x:c r="L16" s="2" t="str">
        <x:v>6</x:v>
      </x:c>
    </x:row>
    <x:row r="17" ht="65" customHeight="1">
      <x:c r="A17" s="9" t="str">
        <x:v>P20</x:v>
      </x:c>
      <x:c r="B17" s="9" t="str">
        <x:v>EnrollPrime</x:v>
      </x:c>
      <x:c r="C17" s="9" t="str">
        <x:v>MedPerformance 7350 Value</x:v>
      </x:c>
      <x:c r="D17" s="10" t="n">
        <x:v>1099.76</x:v>
      </x:c>
      <x:c r="E17" s="10" t="n">
        <x:v>683.3</x:v>
      </x:c>
      <x:c r="F17" s="10" t="n">
        <x:v>1797.38</x:v>
      </x:c>
      <x:c r="G17" s="10" t="n">
        <x:f>IF(ISNUMBER(D17),D17*12,"Unverified")</x:f>
        <x:v>13197.119999999999</x:v>
      </x:c>
      <x:c r="H17" s="10" t="n">
        <x:f>IF(ISNUMBER(E17),E17*12,"Unverified")</x:f>
        <x:v>8199.599999999999</x:v>
      </x:c>
      <x:c r="I17" s="10" t="n">
        <x:f>IF(ISNUMBER(F17),F17*12,"Unverified")</x:f>
        <x:v>21568.56</x:v>
      </x:c>
      <x:c r="J17" s="12" t="str">
        <x:v>ACH rates; age bands 40-49 / 50-59; no ZIP or sex adjustment shown. Effective date and TX/FL eligibility require confirmation.</x:v>
      </x:c>
      <x:c r="K17" s="9" t="str">
        <x:v>S66</x:v>
      </x:c>
      <x:c r="L17" s="9" t="str">
        <x:v>3</x:v>
      </x:c>
    </x:row>
    <x:row r="18" ht="65" customHeight="1">
      <x:c r="A18" s="2" t="str">
        <x:v>P28</x:v>
      </x:c>
      <x:c r="B18" s="2" t="str">
        <x:v>Amerus</x:v>
      </x:c>
      <x:c r="C18" s="2" t="str">
        <x:v>Ultimate EPO 1500</x:v>
      </x:c>
      <x:c r="D18" s="11" t="n">
        <x:v>1549</x:v>
      </x:c>
      <x:c r="E18" s="11" t="n">
        <x:v>799</x:v>
      </x:c>
      <x:c r="F18" s="11" t="n">
        <x:v>2250</x:v>
      </x:c>
      <x:c r="G18" s="11" t="n">
        <x:f>IF(ISNUMBER(D18),D18*12,"Unverified")</x:f>
        <x:v>18588</x:v>
      </x:c>
      <x:c r="H18" s="11" t="n">
        <x:f>IF(ISNUMBER(E18),E18*12,"Unverified")</x:f>
        <x:v>9588</x:v>
      </x:c>
      <x:c r="I18" s="11" t="n">
        <x:f>IF(ISNUMBER(F18),F18*12,"Unverified")</x:f>
        <x:v>27000</x:v>
      </x:c>
      <x:c r="J18" s="13" t="str">
        <x:v>Flat household tiers published in Ultimate EPO 1500 brochure; profile A uses Member + Children, B Member only, C Family. Monthly comparison reference October 1, 2026; plan effective date/eligibility confirmation not supplied.</x:v>
      </x:c>
      <x:c r="K18" s="2" t="str">
        <x:v>S03</x:v>
      </x:c>
      <x:c r="L18" s="2" t="str">
        <x:v>Brochure 2</x:v>
      </x:c>
    </x:row>
    <x:row r="19" ht="65" customHeight="1">
      <x:c r="A19" s="9" t="str">
        <x:v>P29</x:v>
      </x:c>
      <x:c r="B19" s="9" t="str">
        <x:v>Amerus</x:v>
      </x:c>
      <x:c r="C19" s="9" t="str">
        <x:v>Ultimate EPO 3500</x:v>
      </x:c>
      <x:c r="D19" s="10" t="n">
        <x:v>1449.95</x:v>
      </x:c>
      <x:c r="E19" s="10" t="n">
        <x:v>699.95</x:v>
      </x:c>
      <x:c r="F19" s="10" t="n">
        <x:v>2149.95</x:v>
      </x:c>
      <x:c r="G19" s="10" t="n">
        <x:f>IF(ISNUMBER(D19),D19*12,"Unverified")</x:f>
        <x:v>17399.4</x:v>
      </x:c>
      <x:c r="H19" s="10" t="n">
        <x:f>IF(ISNUMBER(E19),E19*12,"Unverified")</x:f>
        <x:v>8399.400000000001</x:v>
      </x:c>
      <x:c r="I19" s="10" t="n">
        <x:f>IF(ISNUMBER(F19),F19*12,"Unverified")</x:f>
        <x:v>25799.399999999998</x:v>
      </x:c>
      <x:c r="J19" s="12" t="str">
        <x:v>Fixed household composite tiers from Outlook email 2026-09-15; A Employee + Children, B Individual, C Family. Not age-rated. TX/FL eligibility and effective-date confirmation not provided.</x:v>
      </x:c>
      <x:c r="K19" s="9" t="str">
        <x:v>S05</x:v>
      </x:c>
      <x:c r="L19" s="9" t="str">
        <x:v>Brochure 2</x:v>
      </x:c>
    </x:row>
    <x:row r="20" ht="65" customHeight="1">
      <x:c r="A20" s="2" t="str">
        <x:v>P02</x:v>
      </x:c>
      <x:c r="B20" s="2" t="str">
        <x:v>Life-X</x:v>
      </x:c>
      <x:c r="C20" s="2" t="str">
        <x:v>HSA 3500</x:v>
      </x:c>
      <x:c r="D20" s="11" t="n">
        <x:v>901</x:v>
      </x:c>
      <x:c r="E20" s="11" t="n">
        <x:v>584</x:v>
      </x:c>
      <x:c r="F20" s="11" t="n">
        <x:v>1478</x:v>
      </x:c>
      <x:c r="G20" s="11" t="n">
        <x:f>IF(ISNUMBER(D20),D20*12,"Unverified")</x:f>
        <x:v>10812</x:v>
      </x:c>
      <x:c r="H20" s="11" t="n">
        <x:f>IF(ISNUMBER(E20),E20*12,"Unverified")</x:f>
        <x:v>7008</x:v>
      </x:c>
      <x:c r="I20" s="11" t="n">
        <x:f>IF(ISNUMBER(F20),F20*12,"Unverified")</x:f>
        <x:v>17736</x:v>
      </x:c>
      <x:c r="J20" s="13" t="str">
        <x:v>Rates effective January 1, 2026; applicant age bands 30-44 / 45-54; no sex, tobacco or ZIP adjustments shown. State eligibility unverified.</x:v>
      </x:c>
      <x:c r="K20" s="2" t="str">
        <x:v>S18</x:v>
      </x:c>
      <x:c r="L20" s="2" t="str">
        <x:v>6</x:v>
      </x:c>
    </x:row>
    <x:row r="21" ht="65" customHeight="1">
      <x:c r="A21" s="9" t="str">
        <x:v>P19</x:v>
      </x:c>
      <x:c r="B21" s="9" t="str">
        <x:v>EnrollPrime</x:v>
      </x:c>
      <x:c r="C21" s="9" t="str">
        <x:v>MedPerformance 5000 HSA</x:v>
      </x:c>
      <x:c r="D21" s="10" t="n">
        <x:v>1144.18</x:v>
      </x:c>
      <x:c r="E21" s="10" t="n">
        <x:v>709.42</x:v>
      </x:c>
      <x:c r="F21" s="10" t="n">
        <x:v>1874.15</x:v>
      </x:c>
      <x:c r="G21" s="10" t="n">
        <x:f>IF(ISNUMBER(D21),D21*12,"Unverified")</x:f>
        <x:v>13730.16</x:v>
      </x:c>
      <x:c r="H21" s="10" t="n">
        <x:f>IF(ISNUMBER(E21),E21*12,"Unverified")</x:f>
        <x:v>8513.039999999999</x:v>
      </x:c>
      <x:c r="I21" s="10" t="n">
        <x:f>IF(ISNUMBER(F21),F21*12,"Unverified")</x:f>
        <x:v>22489.800000000003</x:v>
      </x:c>
      <x:c r="J21" s="12" t="str">
        <x:v>ACH rates; age bands 40-49 / 50-59; no ZIP or sex adjustment shown. Effective date and TX/FL eligibility require confirmation.</x:v>
      </x:c>
      <x:c r="K21" s="9" t="str">
        <x:v>S65</x:v>
      </x:c>
      <x:c r="L21" s="9" t="str">
        <x:v>3</x:v>
      </x:c>
    </x:row>
    <x:row r="22" ht="65" customHeight="1">
      <x:c r="A22" s="2" t="str">
        <x:v>P06</x:v>
      </x:c>
      <x:c r="B22" s="2" t="str">
        <x:v>Life-X</x:v>
      </x:c>
      <x:c r="C22" s="2" t="str">
        <x:v>HSA 5000</x:v>
      </x:c>
      <x:c r="D22" s="11" t="n">
        <x:v>871</x:v>
      </x:c>
      <x:c r="E22" s="11" t="n">
        <x:v>566</x:v>
      </x:c>
      <x:c r="F22" s="11" t="n">
        <x:v>1426</x:v>
      </x:c>
      <x:c r="G22" s="11" t="n">
        <x:f>IF(ISNUMBER(D22),D22*12,"Unverified")</x:f>
        <x:v>10452</x:v>
      </x:c>
      <x:c r="H22" s="11" t="n">
        <x:f>IF(ISNUMBER(E22),E22*12,"Unverified")</x:f>
        <x:v>6792</x:v>
      </x:c>
      <x:c r="I22" s="11" t="n">
        <x:f>IF(ISNUMBER(F22),F22*12,"Unverified")</x:f>
        <x:v>17112</x:v>
      </x:c>
      <x:c r="J22" s="13" t="str">
        <x:v>Rates effective January 1, 2026; applicant age bands 30-44 / 45-54; no sex, tobacco or ZIP adjustments shown. State eligibility unverified.</x:v>
      </x:c>
      <x:c r="K22" s="2" t="str">
        <x:v>S22</x:v>
      </x:c>
      <x:c r="L22" s="2" t="str">
        <x:v>6</x:v>
      </x:c>
    </x:row>
    <x:row r="23" ht="65" customHeight="1">
      <x:c r="A23" s="9" t="str">
        <x:v>P31</x:v>
      </x:c>
      <x:c r="B23" s="9" t="str">
        <x:v>Amerus</x:v>
      </x:c>
      <x:c r="C23" s="9" t="str">
        <x:v>Ultimate HSA</x:v>
      </x:c>
      <x:c r="D23" s="10" t="str">
        <x:v>Unverified</x:v>
      </x:c>
      <x:c r="E23" s="10" t="str">
        <x:v>Unverified</x:v>
      </x:c>
      <x:c r="F23" s="10" t="str">
        <x:v>Unverified</x:v>
      </x:c>
      <x:c r="G23" s="10" t="str">
        <x:f>IF(ISNUMBER(D23),D23*12,"Unverified")</x:f>
        <x:v>Unverified</x:v>
      </x:c>
      <x:c r="H23" s="10" t="str">
        <x:f>IF(ISNUMBER(E23),E23*12,"Unverified")</x:f>
        <x:v>Unverified</x:v>
      </x:c>
      <x:c r="I23" s="10" t="str">
        <x:f>IF(ISNUMBER(F23),F23*12,"Unverified")</x:f>
        <x:v>Unverified</x:v>
      </x:c>
      <x:c r="J23" s="12" t="str">
        <x:v>Fixed household composite tiers from Outlook email 2026-09-15; A Employee + Children, B Individual, C Family. Not age-rated. TX/FL eligibility and effective-date confirmation not provided.</x:v>
      </x:c>
      <x:c r="K23" s="9" t="str">
        <x:v>S07</x:v>
      </x:c>
      <x:c r="L23" s="9" t="str">
        <x:v>Not supplied</x:v>
      </x:c>
    </x:row>
    <x:row r="24" ht="65" customHeight="1">
      <x:c r="A24" s="2" t="str">
        <x:v>P13</x:v>
      </x:c>
      <x:c r="B24" s="2" t="str">
        <x:v>Life-X</x:v>
      </x:c>
      <x:c r="C24" s="2" t="str">
        <x:v>HSA 8300</x:v>
      </x:c>
      <x:c r="D24" s="11" t="n">
        <x:v>821.6</x:v>
      </x:c>
      <x:c r="E24" s="11" t="n">
        <x:v>519</x:v>
      </x:c>
      <x:c r="F24" s="11" t="n">
        <x:v>1129.38</x:v>
      </x:c>
      <x:c r="G24" s="11" t="n">
        <x:f>IF(ISNUMBER(D24),D24*12,"Unverified")</x:f>
        <x:v>9859.2</x:v>
      </x:c>
      <x:c r="H24" s="11" t="n">
        <x:f>IF(ISNUMBER(E24),E24*12,"Unverified")</x:f>
        <x:v>6228</x:v>
      </x:c>
      <x:c r="I24" s="11" t="n">
        <x:f>IF(ISNUMBER(F24),F24*12,"Unverified")</x:f>
        <x:v>13552.560000000001</x:v>
      </x:c>
      <x:c r="J24" s="13" t="str">
        <x:v>Rates effective January 1, 2026; applicant age bands 30-44 / 45-54; no sex, tobacco or ZIP adjustments shown. State eligibility unverified.</x:v>
      </x:c>
      <x:c r="K24" s="2" t="str">
        <x:v>S29</x:v>
      </x:c>
      <x:c r="L24" s="2" t="str">
        <x:v>6</x:v>
      </x:c>
    </x:row>
    <x:row r="25" ht="65" customHeight="1">
      <x:c r="A25" s="9" t="str">
        <x:v>P26</x:v>
      </x:c>
      <x:c r="B25" s="9" t="str">
        <x:v>EnrollPrime</x:v>
      </x:c>
      <x:c r="C25" s="9" t="str">
        <x:v>MedAccess MVP Basic</x:v>
      </x:c>
      <x:c r="D25" s="10" t="n">
        <x:v>670.15</x:v>
      </x:c>
      <x:c r="E25" s="10" t="n">
        <x:v>550</x:v>
      </x:c>
      <x:c r="F25" s="10" t="n">
        <x:v>1090</x:v>
      </x:c>
      <x:c r="G25" s="10" t="n">
        <x:f>IF(ISNUMBER(D25),D25*12,"Unverified")</x:f>
        <x:v>8041.799999999999</x:v>
      </x:c>
      <x:c r="H25" s="10" t="n">
        <x:f>IF(ISNUMBER(E25),E25*12,"Unverified")</x:f>
        <x:v>6600</x:v>
      </x:c>
      <x:c r="I25" s="10" t="n">
        <x:f>IF(ISNUMBER(F25),F25*12,"Unverified")</x:f>
        <x:v>13080</x:v>
      </x:c>
      <x:c r="J25" s="12" t="str">
        <x:v>Age bands 18-45 / 46-64. No ZIP or sex adjustment shown. Effective date and TX/FL eligibility unverified.</x:v>
      </x:c>
      <x:c r="K25" s="9" t="str">
        <x:v>S12</x:v>
      </x:c>
      <x:c r="L25" s="9" t="str">
        <x:v>4</x:v>
      </x:c>
    </x:row>
    <x:row r="26" ht="65" customHeight="1">
      <x:c r="A26" s="2" t="str">
        <x:v>P27</x:v>
      </x:c>
      <x:c r="B26" s="2" t="str">
        <x:v>EnrollPrime</x:v>
      </x:c>
      <x:c r="C26" s="2" t="str">
        <x:v>MedAccess MVP Pro</x:v>
      </x:c>
      <x:c r="D26" s="11" t="n">
        <x:v>886.57</x:v>
      </x:c>
      <x:c r="E26" s="11" t="n">
        <x:v>714.29</x:v>
      </x:c>
      <x:c r="F26" s="11" t="n">
        <x:v>1564.29</x:v>
      </x:c>
      <x:c r="G26" s="11" t="n">
        <x:f>IF(ISNUMBER(D26),D26*12,"Unverified")</x:f>
        <x:v>10638.84</x:v>
      </x:c>
      <x:c r="H26" s="11" t="n">
        <x:f>IF(ISNUMBER(E26),E26*12,"Unverified")</x:f>
        <x:v>8571.48</x:v>
      </x:c>
      <x:c r="I26" s="11" t="n">
        <x:f>IF(ISNUMBER(F26),F26*12,"Unverified")</x:f>
        <x:v>18771.48</x:v>
      </x:c>
      <x:c r="J26" s="13" t="str">
        <x:v>Age bands 18-45 / 46-64. No ZIP or sex adjustment shown. Effective date and TX/FL eligibility unverified.</x:v>
      </x:c>
      <x:c r="K26" s="2" t="str">
        <x:v>S12</x:v>
      </x:c>
      <x:c r="L26" s="2" t="str">
        <x:v>4</x:v>
      </x:c>
    </x:row>
    <x:row r="27" ht="65" customHeight="1">
      <x:c r="A27" s="9" t="str">
        <x:v>P21</x:v>
      </x:c>
      <x:c r="B27" s="9" t="str">
        <x:v>EnrollPrime</x:v>
      </x:c>
      <x:c r="C27" s="9" t="str">
        <x:v>MedMax 250</x:v>
      </x:c>
      <x:c r="D27" s="10" t="n">
        <x:v>739</x:v>
      </x:c>
      <x:c r="E27" s="10" t="n">
        <x:v>469</x:v>
      </x:c>
      <x:c r="F27" s="10" t="n">
        <x:v>1049</x:v>
      </x:c>
      <x:c r="G27" s="10" t="n">
        <x:f>IF(ISNUMBER(D27),D27*12,"Unverified")</x:f>
        <x:v>8868</x:v>
      </x:c>
      <x:c r="H27" s="10" t="n">
        <x:f>IF(ISNUMBER(E27),E27*12,"Unverified")</x:f>
        <x:v>5628</x:v>
      </x:c>
      <x:c r="I27" s="10" t="n">
        <x:f>IF(ISNUMBER(F27),F27*12,"Unverified")</x:f>
        <x:v>12588</x:v>
      </x:c>
      <x:c r="J27" s="12" t="str">
        <x:v>Published household tiers; no ZIP-specific rating table supplied. TX/FL sale eligibility unverified.</x:v>
      </x:c>
      <x:c r="K27" s="9" t="str">
        <x:v>S11</x:v>
      </x:c>
      <x:c r="L27" s="9" t="str">
        <x:v>8</x:v>
      </x:c>
    </x:row>
    <x:row r="28" ht="65" customHeight="1">
      <x:c r="A28" s="2" t="str">
        <x:v>P22</x:v>
      </x:c>
      <x:c r="B28" s="2" t="str">
        <x:v>EnrollPrime</x:v>
      </x:c>
      <x:c r="C28" s="2" t="str">
        <x:v>MedMax 500</x:v>
      </x:c>
      <x:c r="D28" s="11" t="n">
        <x:v>699</x:v>
      </x:c>
      <x:c r="E28" s="11" t="n">
        <x:v>439</x:v>
      </x:c>
      <x:c r="F28" s="11" t="n">
        <x:v>1019</x:v>
      </x:c>
      <x:c r="G28" s="11" t="n">
        <x:f>IF(ISNUMBER(D28),D28*12,"Unverified")</x:f>
        <x:v>8388</x:v>
      </x:c>
      <x:c r="H28" s="11" t="n">
        <x:f>IF(ISNUMBER(E28),E28*12,"Unverified")</x:f>
        <x:v>5268</x:v>
      </x:c>
      <x:c r="I28" s="11" t="n">
        <x:f>IF(ISNUMBER(F28),F28*12,"Unverified")</x:f>
        <x:v>12228</x:v>
      </x:c>
      <x:c r="J28" s="13" t="str">
        <x:v>Published household tiers; no ZIP-specific rating table supplied. TX/FL sale eligibility unverified.</x:v>
      </x:c>
      <x:c r="K28" s="2" t="str">
        <x:v>S11</x:v>
      </x:c>
      <x:c r="L28" s="2" t="str">
        <x:v>8</x:v>
      </x:c>
    </x:row>
    <x:row r="29" ht="65" customHeight="1">
      <x:c r="A29" s="9" t="str">
        <x:v>P15</x:v>
      </x:c>
      <x:c r="B29" s="9" t="str">
        <x:v>Life-X</x:v>
      </x:c>
      <x:c r="C29" s="9" t="str">
        <x:v>PHCS PPO 500</x:v>
      </x:c>
      <x:c r="D29" s="10" t="n">
        <x:v>819</x:v>
      </x:c>
      <x:c r="E29" s="10" t="n">
        <x:v>519</x:v>
      </x:c>
      <x:c r="F29" s="10" t="n">
        <x:v>1169</x:v>
      </x:c>
      <x:c r="G29" s="10" t="n">
        <x:f>IF(ISNUMBER(D29),D29*12,"Unverified")</x:f>
        <x:v>9828</x:v>
      </x:c>
      <x:c r="H29" s="10" t="n">
        <x:f>IF(ISNUMBER(E29),E29*12,"Unverified")</x:f>
        <x:v>6228</x:v>
      </x:c>
      <x:c r="I29" s="10" t="n">
        <x:f>IF(ISNUMBER(F29),F29*12,"Unverified")</x:f>
        <x:v>14028</x:v>
      </x:c>
      <x:c r="J29" s="12" t="str">
        <x:v>Rates effective January 1, 2026; applicant age bands 30-44 / 45-54; no sex, tobacco or ZIP adjustments shown. State eligibility unverified.</x:v>
      </x:c>
      <x:c r="K29" s="9" t="str">
        <x:v>S31</x:v>
      </x:c>
      <x:c r="L29" s="9" t="str">
        <x:v>5</x:v>
      </x:c>
    </x:row>
    <x:row r="30" ht="65" customHeight="1">
      <x:c r="A30" s="2" t="str">
        <x:v>P12</x:v>
      </x:c>
      <x:c r="B30" s="2" t="str">
        <x:v>Life-X</x:v>
      </x:c>
      <x:c r="C30" s="2" t="str">
        <x:v>VL 500</x:v>
      </x:c>
      <x:c r="D30" s="11" t="n">
        <x:v>689</x:v>
      </x:c>
      <x:c r="E30" s="11" t="n">
        <x:v>421</x:v>
      </x:c>
      <x:c r="F30" s="11" t="n">
        <x:v>1019</x:v>
      </x:c>
      <x:c r="G30" s="11" t="n">
        <x:f>IF(ISNUMBER(D30),D30*12,"Unverified")</x:f>
        <x:v>8268</x:v>
      </x:c>
      <x:c r="H30" s="11" t="n">
        <x:f>IF(ISNUMBER(E30),E30*12,"Unverified")</x:f>
        <x:v>5052</x:v>
      </x:c>
      <x:c r="I30" s="11" t="n">
        <x:f>IF(ISNUMBER(F30),F30*12,"Unverified")</x:f>
        <x:v>12228</x:v>
      </x:c>
      <x:c r="J30" s="13" t="str">
        <x:v>Rates effective January 1, 2026; applicant age bands 30-44 / 45-54; no sex, tobacco or ZIP adjustments shown. State eligibility unverified.</x:v>
      </x:c>
      <x:c r="K30" s="2" t="str">
        <x:v>S28</x:v>
      </x:c>
      <x:c r="L30" s="2" t="str">
        <x:v>6</x:v>
      </x:c>
    </x:row>
    <x:row r="31" ht="65" customHeight="1">
      <x:c r="A31" s="9" t="str">
        <x:v>P23</x:v>
      </x:c>
      <x:c r="B31" s="9" t="str">
        <x:v>EnrollPrime</x:v>
      </x:c>
      <x:c r="C31" s="9" t="str">
        <x:v>MedMax 750</x:v>
      </x:c>
      <x:c r="D31" s="10" t="n">
        <x:v>669</x:v>
      </x:c>
      <x:c r="E31" s="10" t="n">
        <x:v>419</x:v>
      </x:c>
      <x:c r="F31" s="10" t="n">
        <x:v>999</x:v>
      </x:c>
      <x:c r="G31" s="10" t="n">
        <x:f>IF(ISNUMBER(D31),D31*12,"Unverified")</x:f>
        <x:v>8028</x:v>
      </x:c>
      <x:c r="H31" s="10" t="n">
        <x:f>IF(ISNUMBER(E31),E31*12,"Unverified")</x:f>
        <x:v>5028</x:v>
      </x:c>
      <x:c r="I31" s="10" t="n">
        <x:f>IF(ISNUMBER(F31),F31*12,"Unverified")</x:f>
        <x:v>11988</x:v>
      </x:c>
      <x:c r="J31" s="12" t="str">
        <x:v>Published household tiers; no ZIP-specific rating table supplied. TX/FL sale eligibility unverified.</x:v>
      </x:c>
      <x:c r="K31" s="9" t="str">
        <x:v>S11</x:v>
      </x:c>
      <x:c r="L31" s="9" t="str">
        <x:v>8</x:v>
      </x:c>
    </x:row>
    <x:row r="32" ht="65" customHeight="1">
      <x:c r="A32" s="2" t="str">
        <x:v>P08</x:v>
      </x:c>
      <x:c r="B32" s="2" t="str">
        <x:v>Life-X</x:v>
      </x:c>
      <x:c r="C32" s="2" t="str">
        <x:v>PHCS PPO 750</x:v>
      </x:c>
      <x:c r="D32" s="11" t="n">
        <x:v>789</x:v>
      </x:c>
      <x:c r="E32" s="11" t="n">
        <x:v>499</x:v>
      </x:c>
      <x:c r="F32" s="11" t="n">
        <x:v>1149</x:v>
      </x:c>
      <x:c r="G32" s="11" t="n">
        <x:f>IF(ISNUMBER(D32),D32*12,"Unverified")</x:f>
        <x:v>9468</x:v>
      </x:c>
      <x:c r="H32" s="11" t="n">
        <x:f>IF(ISNUMBER(E32),E32*12,"Unverified")</x:f>
        <x:v>5988</x:v>
      </x:c>
      <x:c r="I32" s="11" t="n">
        <x:f>IF(ISNUMBER(F32),F32*12,"Unverified")</x:f>
        <x:v>13788</x:v>
      </x:c>
      <x:c r="J32" s="13" t="str">
        <x:v>Rates effective January 1, 2026; applicant age bands 30-44 / 45-54; no sex, tobacco or ZIP adjustments shown. State eligibility unverified.</x:v>
      </x:c>
      <x:c r="K32" s="2" t="str">
        <x:v>S24</x:v>
      </x:c>
      <x:c r="L32" s="2" t="str">
        <x:v>5</x:v>
      </x:c>
    </x:row>
    <x:row r="33" ht="65" customHeight="1">
      <x:c r="A33" s="9" t="str">
        <x:v>P04</x:v>
      </x:c>
      <x:c r="B33" s="9" t="str">
        <x:v>Life-X</x:v>
      </x:c>
      <x:c r="C33" s="9" t="str">
        <x:v>VL 750</x:v>
      </x:c>
      <x:c r="D33" s="10" t="n">
        <x:v>658</x:v>
      </x:c>
      <x:c r="E33" s="10" t="n">
        <x:v>401</x:v>
      </x:c>
      <x:c r="F33" s="10" t="n">
        <x:v>998</x:v>
      </x:c>
      <x:c r="G33" s="10" t="n">
        <x:f>IF(ISNUMBER(D33),D33*12,"Unverified")</x:f>
        <x:v>7896</x:v>
      </x:c>
      <x:c r="H33" s="10" t="n">
        <x:f>IF(ISNUMBER(E33),E33*12,"Unverified")</x:f>
        <x:v>4812</x:v>
      </x:c>
      <x:c r="I33" s="10" t="n">
        <x:f>IF(ISNUMBER(F33),F33*12,"Unverified")</x:f>
        <x:v>11976</x:v>
      </x:c>
      <x:c r="J33" s="12" t="str">
        <x:v>Rates effective January 1, 2026; applicant age bands 30-44 / 45-54; no sex, tobacco or ZIP adjustments shown. State eligibility unverified.</x:v>
      </x:c>
      <x:c r="K33" s="9" t="str">
        <x:v>S20</x:v>
      </x:c>
      <x:c r="L33" s="9" t="str">
        <x:v>6</x:v>
      </x:c>
    </x:row>
    <x:row r="34" ht="65" customHeight="1">
      <x:c r="A34" s="2" t="str">
        <x:v>P24</x:v>
      </x:c>
      <x:c r="B34" s="2" t="str">
        <x:v>EnrollPrime</x:v>
      </x:c>
      <x:c r="C34" s="2" t="str">
        <x:v>MedMax 1000</x:v>
      </x:c>
      <x:c r="D34" s="11" t="n">
        <x:v>649</x:v>
      </x:c>
      <x:c r="E34" s="11" t="n">
        <x:v>399</x:v>
      </x:c>
      <x:c r="F34" s="11" t="n">
        <x:v>979</x:v>
      </x:c>
      <x:c r="G34" s="11" t="n">
        <x:f>IF(ISNUMBER(D34),D34*12,"Unverified")</x:f>
        <x:v>7788</x:v>
      </x:c>
      <x:c r="H34" s="11" t="n">
        <x:f>IF(ISNUMBER(E34),E34*12,"Unverified")</x:f>
        <x:v>4788</x:v>
      </x:c>
      <x:c r="I34" s="11" t="n">
        <x:f>IF(ISNUMBER(F34),F34*12,"Unverified")</x:f>
        <x:v>11748</x:v>
      </x:c>
      <x:c r="J34" s="13" t="str">
        <x:v>Published household tiers; no ZIP-specific rating table supplied. TX/FL sale eligibility unverified.</x:v>
      </x:c>
      <x:c r="K34" s="2" t="str">
        <x:v>S11</x:v>
      </x:c>
      <x:c r="L34" s="2" t="str">
        <x:v>8</x:v>
      </x:c>
    </x:row>
    <x:row r="35" ht="65" customHeight="1">
      <x:c r="A35" s="9" t="str">
        <x:v>P16</x:v>
      </x:c>
      <x:c r="B35" s="9" t="str">
        <x:v>Life-X</x:v>
      </x:c>
      <x:c r="C35" s="9" t="str">
        <x:v>PHCS PPO 1000</x:v>
      </x:c>
      <x:c r="D35" s="10" t="n">
        <x:v>769</x:v>
      </x:c>
      <x:c r="E35" s="10" t="n">
        <x:v>479</x:v>
      </x:c>
      <x:c r="F35" s="10" t="n">
        <x:v>1129</x:v>
      </x:c>
      <x:c r="G35" s="10" t="n">
        <x:f>IF(ISNUMBER(D35),D35*12,"Unverified")</x:f>
        <x:v>9228</x:v>
      </x:c>
      <x:c r="H35" s="10" t="n">
        <x:f>IF(ISNUMBER(E35),E35*12,"Unverified")</x:f>
        <x:v>5748</x:v>
      </x:c>
      <x:c r="I35" s="10" t="n">
        <x:f>IF(ISNUMBER(F35),F35*12,"Unverified")</x:f>
        <x:v>13548</x:v>
      </x:c>
      <x:c r="J35" s="12" t="str">
        <x:v>Rates effective January 1, 2026; applicant age bands 30-44 / 45-54; no sex, tobacco or ZIP adjustments shown. State eligibility unverified.</x:v>
      </x:c>
      <x:c r="K35" s="9" t="str">
        <x:v>S32</x:v>
      </x:c>
      <x:c r="L35" s="9" t="str">
        <x:v>5</x:v>
      </x:c>
    </x:row>
    <x:row r="36" ht="65" customHeight="1">
      <x:c r="A36" s="2" t="str">
        <x:v>P05</x:v>
      </x:c>
      <x:c r="B36" s="2" t="str">
        <x:v>Life-X</x:v>
      </x:c>
      <x:c r="C36" s="2" t="str">
        <x:v>VL 1000</x:v>
      </x:c>
      <x:c r="D36" s="11" t="n">
        <x:v>638</x:v>
      </x:c>
      <x:c r="E36" s="11" t="n">
        <x:v>380</x:v>
      </x:c>
      <x:c r="F36" s="11" t="n">
        <x:v>977</x:v>
      </x:c>
      <x:c r="G36" s="11" t="n">
        <x:f>IF(ISNUMBER(D36),D36*12,"Unverified")</x:f>
        <x:v>7656</x:v>
      </x:c>
      <x:c r="H36" s="11" t="n">
        <x:f>IF(ISNUMBER(E36),E36*12,"Unverified")</x:f>
        <x:v>4560</x:v>
      </x:c>
      <x:c r="I36" s="11" t="n">
        <x:f>IF(ISNUMBER(F36),F36*12,"Unverified")</x:f>
        <x:v>11724</x:v>
      </x:c>
      <x:c r="J36" s="13" t="str">
        <x:v>Rates effective January 1, 2026; applicant age bands 30-44 / 45-54; no sex, tobacco or ZIP adjustments shown. State eligibility unverified.</x:v>
      </x:c>
      <x:c r="K36" s="2" t="str">
        <x:v>S21</x:v>
      </x:c>
      <x:c r="L36" s="2" t="str">
        <x:v>6</x:v>
      </x:c>
    </x:row>
    <x:row r="37" ht="65" customHeight="1">
      <x:c r="A37" s="9" t="str">
        <x:v>P25</x:v>
      </x:c>
      <x:c r="B37" s="9" t="str">
        <x:v>EnrollPrime</x:v>
      </x:c>
      <x:c r="C37" s="9" t="str">
        <x:v>MedMax 1500</x:v>
      </x:c>
      <x:c r="D37" s="10" t="n">
        <x:v>623</x:v>
      </x:c>
      <x:c r="E37" s="10" t="n">
        <x:v>379</x:v>
      </x:c>
      <x:c r="F37" s="10" t="n">
        <x:v>959</x:v>
      </x:c>
      <x:c r="G37" s="10" t="n">
        <x:f>IF(ISNUMBER(D37),D37*12,"Unverified")</x:f>
        <x:v>7476</x:v>
      </x:c>
      <x:c r="H37" s="10" t="n">
        <x:f>IF(ISNUMBER(E37),E37*12,"Unverified")</x:f>
        <x:v>4548</x:v>
      </x:c>
      <x:c r="I37" s="10" t="n">
        <x:f>IF(ISNUMBER(F37),F37*12,"Unverified")</x:f>
        <x:v>11508</x:v>
      </x:c>
      <x:c r="J37" s="12" t="str">
        <x:v>Published household tiers; no ZIP-specific rating table supplied. TX/FL sale eligibility unverified.</x:v>
      </x:c>
      <x:c r="K37" s="9" t="str">
        <x:v>S11</x:v>
      </x:c>
      <x:c r="L37" s="9" t="str">
        <x:v>8</x:v>
      </x:c>
    </x:row>
    <x:row r="38" ht="65" customHeight="1">
      <x:c r="A38" s="2" t="str">
        <x:v>P09</x:v>
      </x:c>
      <x:c r="B38" s="2" t="str">
        <x:v>Life-X</x:v>
      </x:c>
      <x:c r="C38" s="2" t="str">
        <x:v>PHCS PPO 1500</x:v>
      </x:c>
      <x:c r="D38" s="11" t="n">
        <x:v>743</x:v>
      </x:c>
      <x:c r="E38" s="11" t="n">
        <x:v>459</x:v>
      </x:c>
      <x:c r="F38" s="11" t="n">
        <x:v>1109</x:v>
      </x:c>
      <x:c r="G38" s="11" t="n">
        <x:f>IF(ISNUMBER(D38),D38*12,"Unverified")</x:f>
        <x:v>8916</x:v>
      </x:c>
      <x:c r="H38" s="11" t="n">
        <x:f>IF(ISNUMBER(E38),E38*12,"Unverified")</x:f>
        <x:v>5508</x:v>
      </x:c>
      <x:c r="I38" s="11" t="n">
        <x:f>IF(ISNUMBER(F38),F38*12,"Unverified")</x:f>
        <x:v>13308</x:v>
      </x:c>
      <x:c r="J38" s="13" t="str">
        <x:v>Rates effective January 1, 2026; applicant age bands 30-44 / 45-54; no sex, tobacco or ZIP adjustments shown. State eligibility unverified.</x:v>
      </x:c>
      <x:c r="K38" s="2" t="str">
        <x:v>S25</x:v>
      </x:c>
      <x:c r="L38" s="2" t="str">
        <x:v>5</x:v>
      </x:c>
    </x:row>
    <x:row r="39" ht="65" customHeight="1">
      <x:c r="A39" s="9" t="str">
        <x:v>P01</x:v>
      </x:c>
      <x:c r="B39" s="9" t="str">
        <x:v>Life-X</x:v>
      </x:c>
      <x:c r="C39" s="9" t="str">
        <x:v>VL 1500</x:v>
      </x:c>
      <x:c r="D39" s="10" t="n">
        <x:v>611</x:v>
      </x:c>
      <x:c r="E39" s="10" t="n">
        <x:v>359</x:v>
      </x:c>
      <x:c r="F39" s="10" t="n">
        <x:v>957</x:v>
      </x:c>
      <x:c r="G39" s="10" t="n">
        <x:f>IF(ISNUMBER(D39),D39*12,"Unverified")</x:f>
        <x:v>7332</x:v>
      </x:c>
      <x:c r="H39" s="10" t="n">
        <x:f>IF(ISNUMBER(E39),E39*12,"Unverified")</x:f>
        <x:v>4308</x:v>
      </x:c>
      <x:c r="I39" s="10" t="n">
        <x:f>IF(ISNUMBER(F39),F39*12,"Unverified")</x:f>
        <x:v>11484</x:v>
      </x:c>
      <x:c r="J39" s="12" t="str">
        <x:v>Rates effective January 1, 2026; applicant age bands 30-44 / 45-54; no sex, tobacco or ZIP adjustments shown. State eligibility unverified.</x:v>
      </x:c>
      <x:c r="K39" s="9" t="str">
        <x:v>S17</x:v>
      </x:c>
      <x:c r="L39" s="9" t="str">
        <x:v>6</x:v>
      </x:c>
    </x:row>
    <x:row r="40" ht="65" customHeight="1">
      <x:c r="A40" s="2" t="str">
        <x:v>P32</x:v>
      </x:c>
      <x:c r="B40" s="2" t="str">
        <x:v>Lucida</x:v>
      </x:c>
      <x:c r="C40" s="2" t="str">
        <x:v>Bloom Plan 1</x:v>
      </x:c>
      <x:c r="D40" s="11" t="n">
        <x:v>582.03</x:v>
      </x:c>
      <x:c r="E40" s="11" t="n">
        <x:v>370.96</x:v>
      </x:c>
      <x:c r="F40" s="11" t="n">
        <x:v>838.52</x:v>
      </x:c>
      <x:c r="G40" s="11" t="n">
        <x:f>IF(ISNUMBER(D40),D40*12,"Unverified")</x:f>
        <x:v>6984.36</x:v>
      </x:c>
      <x:c r="H40" s="11" t="n">
        <x:f>IF(ISNUMBER(E40),E40*12,"Unverified")</x:f>
        <x:v>4451.5199999999995</x:v>
      </x:c>
      <x:c r="I40" s="11" t="n">
        <x:f>IF(ISNUMBER(F40),F40*12,"Unverified")</x:f>
        <x:v>10062.24</x:v>
      </x:c>
      <x:c r="J40" s="13" t="str">
        <x:v>User-provided monthly fixed household-tier rates (Outlook follow-up, 2026-09-20); A uses Individual + Children, B Individual, C Family. Not age, tobacco or ZIP rated in supplied tiers.</x:v>
      </x:c>
      <x:c r="K40" s="2" t="str">
        <x:v>S33</x:v>
      </x:c>
      <x:c r="L40" s="2" t="str">
        <x:v>Not supplied</x:v>
      </x:c>
    </x:row>
    <x:row r="41" ht="65" customHeight="1">
      <x:c r="A41" s="9" t="str">
        <x:v>P33</x:v>
      </x:c>
      <x:c r="B41" s="9" t="str">
        <x:v>Lucida</x:v>
      </x:c>
      <x:c r="C41" s="9" t="str">
        <x:v>Bloom Plan 2</x:v>
      </x:c>
      <x:c r="D41" s="10" t="n">
        <x:v>751.5</x:v>
      </x:c>
      <x:c r="E41" s="10" t="n">
        <x:v>459.51</x:v>
      </x:c>
      <x:c r="F41" s="10" t="n">
        <x:v>1096.53</x:v>
      </x:c>
      <x:c r="G41" s="10" t="n">
        <x:f>IF(ISNUMBER(D41),D41*12,"Unverified")</x:f>
        <x:v>9018</x:v>
      </x:c>
      <x:c r="H41" s="10" t="n">
        <x:f>IF(ISNUMBER(E41),E41*12,"Unverified")</x:f>
        <x:v>5514.12</x:v>
      </x:c>
      <x:c r="I41" s="10" t="n">
        <x:f>IF(ISNUMBER(F41),F41*12,"Unverified")</x:f>
        <x:v>13158.36</x:v>
      </x:c>
      <x:c r="J41" s="12" t="str">
        <x:v>User-provided monthly fixed household-tier rates (Outlook follow-up, 2026-09-20); A uses Individual + Children, B Individual, C Family. Not age, tobacco or ZIP rated in supplied tiers.</x:v>
      </x:c>
      <x:c r="K41" s="9" t="str">
        <x:v>S34</x:v>
      </x:c>
      <x:c r="L41" s="9" t="str">
        <x:v>Not supplied</x:v>
      </x:c>
    </x:row>
    <x:row r="42" ht="65" customHeight="1">
      <x:c r="A42" s="2" t="str">
        <x:v>P34</x:v>
      </x:c>
      <x:c r="B42" s="2" t="str">
        <x:v>Lucida</x:v>
      </x:c>
      <x:c r="C42" s="2" t="str">
        <x:v>Bloom Plan 3</x:v>
      </x:c>
      <x:c r="D42" s="11" t="n">
        <x:v>943.86</x:v>
      </x:c>
      <x:c r="E42" s="11" t="n">
        <x:v>561.8</x:v>
      </x:c>
      <x:c r="F42" s="11" t="n">
        <x:v>1392.72</x:v>
      </x:c>
      <x:c r="G42" s="11" t="n">
        <x:f>IF(ISNUMBER(D42),D42*12,"Unverified")</x:f>
        <x:v>11326.32</x:v>
      </x:c>
      <x:c r="H42" s="11" t="n">
        <x:f>IF(ISNUMBER(E42),E42*12,"Unverified")</x:f>
        <x:v>6741.599999999999</x:v>
      </x:c>
      <x:c r="I42" s="11" t="n">
        <x:f>IF(ISNUMBER(F42),F42*12,"Unverified")</x:f>
        <x:v>16712.64</x:v>
      </x:c>
      <x:c r="J42" s="13" t="str">
        <x:v>User-provided monthly fixed household-tier rates (Outlook follow-up, 2026-09-20); A uses Individual + Children, B Individual, C Family. Not age, tobacco or ZIP rated in supplied tiers.</x:v>
      </x:c>
      <x:c r="K42" s="2" t="str">
        <x:v>S35</x:v>
      </x:c>
      <x:c r="L42" s="2" t="str">
        <x:v>Not supplied</x:v>
      </x:c>
    </x:row>
    <x:row r="43" ht="65" customHeight="1">
      <x:c r="A43" s="9" t="str">
        <x:v>P35</x:v>
      </x:c>
      <x:c r="B43" s="9" t="str">
        <x:v>Lucida</x:v>
      </x:c>
      <x:c r="C43" s="9" t="str">
        <x:v>Bloom Plan 4</x:v>
      </x:c>
      <x:c r="D43" s="10" t="n">
        <x:v>1003.4</x:v>
      </x:c>
      <x:c r="E43" s="10" t="n">
        <x:v>593.86</x:v>
      </x:c>
      <x:c r="F43" s="10" t="n">
        <x:v>1482.8</x:v>
      </x:c>
      <x:c r="G43" s="10" t="n">
        <x:f>IF(ISNUMBER(D43),D43*12,"Unverified")</x:f>
        <x:v>12040.8</x:v>
      </x:c>
      <x:c r="H43" s="10" t="n">
        <x:f>IF(ISNUMBER(E43),E43*12,"Unverified")</x:f>
        <x:v>7126.32</x:v>
      </x:c>
      <x:c r="I43" s="10" t="n">
        <x:f>IF(ISNUMBER(F43),F43*12,"Unverified")</x:f>
        <x:v>17793.6</x:v>
      </x:c>
      <x:c r="J43" s="12" t="str">
        <x:v>User-provided monthly fixed household-tier rates (Outlook follow-up, 2026-09-20); A uses Individual + Children, B Individual, C Family. Not age, tobacco or ZIP rated in supplied tiers.</x:v>
      </x:c>
      <x:c r="K43" s="9" t="str">
        <x:v>S36</x:v>
      </x:c>
      <x:c r="L43" s="9" t="str">
        <x:v>Not supplied</x:v>
      </x:c>
    </x:row>
    <x:row r="44" ht="65" customHeight="1">
      <x:c r="A44" s="2" t="str">
        <x:v>P36</x:v>
      </x:c>
      <x:c r="B44" s="2" t="str">
        <x:v>Lucida</x:v>
      </x:c>
      <x:c r="C44" s="2" t="str">
        <x:v>Bloom Plan 5</x:v>
      </x:c>
      <x:c r="D44" s="11" t="n">
        <x:v>1122.49</x:v>
      </x:c>
      <x:c r="E44" s="11" t="n">
        <x:v>656.46</x:v>
      </x:c>
      <x:c r="F44" s="11" t="n">
        <x:v>1664.47</x:v>
      </x:c>
      <x:c r="G44" s="11" t="n">
        <x:f>IF(ISNUMBER(D44),D44*12,"Unverified")</x:f>
        <x:v>13469.880000000001</x:v>
      </x:c>
      <x:c r="H44" s="11" t="n">
        <x:f>IF(ISNUMBER(E44),E44*12,"Unverified")</x:f>
        <x:v>7877.52</x:v>
      </x:c>
      <x:c r="I44" s="11" t="n">
        <x:f>IF(ISNUMBER(F44),F44*12,"Unverified")</x:f>
        <x:v>19973.64</x:v>
      </x:c>
      <x:c r="J44" s="13" t="str">
        <x:v>User-provided monthly fixed household-tier rates (Outlook follow-up, 2026-09-20); A uses Individual + Children, B Individual, C Family. Not age, tobacco or ZIP rated in supplied tiers.</x:v>
      </x:c>
      <x:c r="K44" s="2" t="str">
        <x:v>S37</x:v>
      </x:c>
      <x:c r="L44" s="2" t="str">
        <x:v>Not supplied</x:v>
      </x:c>
    </x:row>
    <x:row r="45" ht="65" customHeight="1">
      <x:c r="A45" s="9" t="str">
        <x:v>P37</x:v>
      </x:c>
      <x:c r="B45" s="9" t="str">
        <x:v>Lucida</x:v>
      </x:c>
      <x:c r="C45" s="9" t="str">
        <x:v>Bloom Plan 6</x:v>
      </x:c>
      <x:c r="D45" s="10" t="n">
        <x:v>1258.37</x:v>
      </x:c>
      <x:c r="E45" s="10" t="n">
        <x:v>731.27</x:v>
      </x:c>
      <x:c r="F45" s="10" t="n">
        <x:v>1876.69</x:v>
      </x:c>
      <x:c r="G45" s="10" t="n">
        <x:f>IF(ISNUMBER(D45),D45*12,"Unverified")</x:f>
        <x:v>15100.439999999999</x:v>
      </x:c>
      <x:c r="H45" s="10" t="n">
        <x:f>IF(ISNUMBER(E45),E45*12,"Unverified")</x:f>
        <x:v>8775.24</x:v>
      </x:c>
      <x:c r="I45" s="10" t="n">
        <x:f>IF(ISNUMBER(F45),F45*12,"Unverified")</x:f>
        <x:v>22520.28</x:v>
      </x:c>
      <x:c r="J45" s="12" t="str">
        <x:v>User-provided monthly fixed household-tier rates (Outlook follow-up, 2026-09-20); A uses Individual + Children, B Individual, C Family. Not age, tobacco or ZIP rated in supplied tiers.</x:v>
      </x:c>
      <x:c r="K45" s="9" t="str">
        <x:v>S38</x:v>
      </x:c>
      <x:c r="L45" s="9" t="str">
        <x:v>Not supplied</x:v>
      </x:c>
    </x:row>
    <x:row r="46" ht="65" customHeight="1">
      <x:c r="A46" s="2" t="str">
        <x:v>P38</x:v>
      </x:c>
      <x:c r="B46" s="2" t="str">
        <x:v>Lucida</x:v>
      </x:c>
      <x:c r="C46" s="2" t="str">
        <x:v>Bloom Plan 7</x:v>
      </x:c>
      <x:c r="D46" s="11" t="n">
        <x:v>1397.3</x:v>
      </x:c>
      <x:c r="E46" s="11" t="n">
        <x:v>806.07</x:v>
      </x:c>
      <x:c r="F46" s="11" t="n">
        <x:v>2085.85</x:v>
      </x:c>
      <x:c r="G46" s="11" t="n">
        <x:f>IF(ISNUMBER(D46),D46*12,"Unverified")</x:f>
        <x:v>16767.6</x:v>
      </x:c>
      <x:c r="H46" s="11" t="n">
        <x:f>IF(ISNUMBER(E46),E46*12,"Unverified")</x:f>
        <x:v>9672.84</x:v>
      </x:c>
      <x:c r="I46" s="11" t="n">
        <x:f>IF(ISNUMBER(F46),F46*12,"Unverified")</x:f>
        <x:v>25030.199999999997</x:v>
      </x:c>
      <x:c r="J46" s="13" t="str">
        <x:v>User-provided monthly fixed household-tier rates (Outlook follow-up, 2026-09-20); A uses Individual + Children, B Individual, C Family. Not age, tobacco or ZIP rated in supplied tiers.</x:v>
      </x:c>
      <x:c r="K46" s="2" t="str">
        <x:v>S39</x:v>
      </x:c>
      <x:c r="L46" s="2" t="str">
        <x:v>Not supplied</x:v>
      </x:c>
    </x:row>
    <x:row r="47" ht="65" customHeight="1">
      <x:c r="A47" s="9" t="str">
        <x:v>P39</x:v>
      </x:c>
      <x:c r="B47" s="9" t="str">
        <x:v>Lucida</x:v>
      </x:c>
      <x:c r="C47" s="9" t="str">
        <x:v>Everest AFEUSA Prime 2000</x:v>
      </x:c>
      <x:c r="D47" s="10" t="str">
        <x:v>Unverified</x:v>
      </x:c>
      <x:c r="E47" s="10" t="str">
        <x:v>Unverified</x:v>
      </x:c>
      <x:c r="F47" s="10" t="str">
        <x:v>Unverified</x:v>
      </x:c>
      <x:c r="G47" s="10" t="str">
        <x:f>IF(ISNUMBER(D47),D47*12,"Unverified")</x:f>
        <x:v>Unverified</x:v>
      </x:c>
      <x:c r="H47" s="10" t="str">
        <x:f>IF(ISNUMBER(E47),E47*12,"Unverified")</x:f>
        <x:v>Unverified</x:v>
      </x:c>
      <x:c r="I47" s="10" t="str">
        <x:f>IF(ISNUMBER(F47),F47*12,"Unverified")</x:f>
        <x:v>Unverified</x:v>
      </x:c>
      <x:c r="J47" s="12" t="str">
        <x:v>Extraction exposes a rate table that is not visible on rendered pages. Rates withheld pending a visible, approved rate sheet; TX/FL eligibility unverified.</x:v>
      </x:c>
      <x:c r="K47" s="9" t="str">
        <x:v>S40</x:v>
      </x:c>
      <x:c r="L47" s="9" t="str">
        <x:v>Unverified hidden text only</x:v>
      </x:c>
    </x:row>
    <x:row r="48" ht="65" customHeight="1">
      <x:c r="A48" s="2" t="str">
        <x:v>P40</x:v>
      </x:c>
      <x:c r="B48" s="2" t="str">
        <x:v>Lucida</x:v>
      </x:c>
      <x:c r="C48" s="2" t="str">
        <x:v>Everest AFEUSA Prime 3000</x:v>
      </x:c>
      <x:c r="D48" s="11" t="str">
        <x:v>Unverified</x:v>
      </x:c>
      <x:c r="E48" s="11" t="str">
        <x:v>Unverified</x:v>
      </x:c>
      <x:c r="F48" s="11" t="str">
        <x:v>Unverified</x:v>
      </x:c>
      <x:c r="G48" s="11" t="str">
        <x:f>IF(ISNUMBER(D48),D48*12,"Unverified")</x:f>
        <x:v>Unverified</x:v>
      </x:c>
      <x:c r="H48" s="11" t="str">
        <x:f>IF(ISNUMBER(E48),E48*12,"Unverified")</x:f>
        <x:v>Unverified</x:v>
      </x:c>
      <x:c r="I48" s="11" t="str">
        <x:f>IF(ISNUMBER(F48),F48*12,"Unverified")</x:f>
        <x:v>Unverified</x:v>
      </x:c>
      <x:c r="J48" s="13" t="str">
        <x:v>Extraction exposes a rate table that is not visible on rendered pages. Rates withheld pending a visible, approved rate sheet; TX/FL eligibility unverified.</x:v>
      </x:c>
      <x:c r="K48" s="2" t="str">
        <x:v>S40</x:v>
      </x:c>
      <x:c r="L48" s="2" t="str">
        <x:v>Unverified hidden text only</x:v>
      </x:c>
    </x:row>
    <x:row r="49" ht="65" customHeight="1">
      <x:c r="A49" s="9" t="str">
        <x:v>P41</x:v>
      </x:c>
      <x:c r="B49" s="9" t="str">
        <x:v>Lucida</x:v>
      </x:c>
      <x:c r="C49" s="9" t="str">
        <x:v>Everest AFEUSA Prime 4000</x:v>
      </x:c>
      <x:c r="D49" s="10" t="str">
        <x:v>Unverified</x:v>
      </x:c>
      <x:c r="E49" s="10" t="str">
        <x:v>Unverified</x:v>
      </x:c>
      <x:c r="F49" s="10" t="str">
        <x:v>Unverified</x:v>
      </x:c>
      <x:c r="G49" s="10" t="str">
        <x:f>IF(ISNUMBER(D49),D49*12,"Unverified")</x:f>
        <x:v>Unverified</x:v>
      </x:c>
      <x:c r="H49" s="10" t="str">
        <x:f>IF(ISNUMBER(E49),E49*12,"Unverified")</x:f>
        <x:v>Unverified</x:v>
      </x:c>
      <x:c r="I49" s="10" t="str">
        <x:f>IF(ISNUMBER(F49),F49*12,"Unverified")</x:f>
        <x:v>Unverified</x:v>
      </x:c>
      <x:c r="J49" s="12" t="str">
        <x:v>Extraction exposes a rate table that is not visible on rendered pages. Rates withheld pending a visible, approved rate sheet; TX/FL eligibility unverified.</x:v>
      </x:c>
      <x:c r="K49" s="9" t="str">
        <x:v>S40</x:v>
      </x:c>
      <x:c r="L49" s="9" t="str">
        <x:v>Unverified hidden text only</x:v>
      </x:c>
    </x:row>
    <x:row r="50" ht="65" customHeight="1">
      <x:c r="A50" s="2" t="str">
        <x:v>P42</x:v>
      </x:c>
      <x:c r="B50" s="2" t="str">
        <x:v>Lucida</x:v>
      </x:c>
      <x:c r="C50" s="2" t="str">
        <x:v>Everest AFEUSA Prime 6000</x:v>
      </x:c>
      <x:c r="D50" s="11" t="str">
        <x:v>Unverified</x:v>
      </x:c>
      <x:c r="E50" s="11" t="str">
        <x:v>Unverified</x:v>
      </x:c>
      <x:c r="F50" s="11" t="str">
        <x:v>Unverified</x:v>
      </x:c>
      <x:c r="G50" s="11" t="str">
        <x:f>IF(ISNUMBER(D50),D50*12,"Unverified")</x:f>
        <x:v>Unverified</x:v>
      </x:c>
      <x:c r="H50" s="11" t="str">
        <x:f>IF(ISNUMBER(E50),E50*12,"Unverified")</x:f>
        <x:v>Unverified</x:v>
      </x:c>
      <x:c r="I50" s="11" t="str">
        <x:f>IF(ISNUMBER(F50),F50*12,"Unverified")</x:f>
        <x:v>Unverified</x:v>
      </x:c>
      <x:c r="J50" s="13" t="str">
        <x:v>Extraction exposes a rate table that is not visible on rendered pages. Rates withheld pending a visible, approved rate sheet; TX/FL eligibility unverified.</x:v>
      </x:c>
      <x:c r="K50" s="2" t="str">
        <x:v>S40</x:v>
      </x:c>
      <x:c r="L50" s="2" t="str">
        <x:v>Unverified hidden text only</x:v>
      </x:c>
    </x:row>
    <x:row r="51" ht="65" customHeight="1">
      <x:c r="A51" s="9" t="str">
        <x:v>P43</x:v>
      </x:c>
      <x:c r="B51" s="9" t="str">
        <x:v>Lucida</x:v>
      </x:c>
      <x:c r="C51" s="9" t="str">
        <x:v>Everest AFEUSA Prime 8000</x:v>
      </x:c>
      <x:c r="D51" s="10" t="str">
        <x:v>Unverified</x:v>
      </x:c>
      <x:c r="E51" s="10" t="str">
        <x:v>Unverified</x:v>
      </x:c>
      <x:c r="F51" s="10" t="str">
        <x:v>Unverified</x:v>
      </x:c>
      <x:c r="G51" s="10" t="str">
        <x:f>IF(ISNUMBER(D51),D51*12,"Unverified")</x:f>
        <x:v>Unverified</x:v>
      </x:c>
      <x:c r="H51" s="10" t="str">
        <x:f>IF(ISNUMBER(E51),E51*12,"Unverified")</x:f>
        <x:v>Unverified</x:v>
      </x:c>
      <x:c r="I51" s="10" t="str">
        <x:f>IF(ISNUMBER(F51),F51*12,"Unverified")</x:f>
        <x:v>Unverified</x:v>
      </x:c>
      <x:c r="J51" s="12" t="str">
        <x:v>Extraction exposes a rate table that is not visible on rendered pages. Rates withheld pending a visible, approved rate sheet; TX/FL eligibility unverified.</x:v>
      </x:c>
      <x:c r="K51" s="9" t="str">
        <x:v>S40</x:v>
      </x:c>
      <x:c r="L51" s="9" t="str">
        <x:v>Unverified hidden text only</x:v>
      </x:c>
    </x:row>
    <x:row r="52" ht="65" customHeight="1">
      <x:c r="A52" s="2" t="str">
        <x:v>P44</x:v>
      </x:c>
      <x:c r="B52" s="2" t="str">
        <x:v>AFI / Enroll Prime</x:v>
      </x:c>
      <x:c r="C52" s="2" t="str">
        <x:v>AFI 8300 HSA</x:v>
      </x:c>
      <x:c r="D52" s="11" t="n">
        <x:v>1045.14</x:v>
      </x:c>
      <x:c r="E52" s="11" t="n">
        <x:v>585.58</x:v>
      </x:c>
      <x:c r="F52" s="11" t="n">
        <x:v>1300.15</x:v>
      </x:c>
      <x:c r="G52" s="11" t="n">
        <x:f>IF(ISNUMBER(D52),D52*12,"Unverified")</x:f>
        <x:v>12541.68</x:v>
      </x:c>
      <x:c r="H52" s="11" t="n">
        <x:f>IF(ISNUMBER(E52),E52*12,"Unverified")</x:f>
        <x:v>7026.960000000001</x:v>
      </x:c>
      <x:c r="I52" s="11" t="n">
        <x:f>IF(ISNUMBER(F52),F52*12,"Unverified")</x:f>
        <x:v>15601.800000000001</x:v>
      </x:c>
      <x:c r="J52" s="13" t="str">
        <x:v>X1 secondary workbook transcribes Enroll Prime portal popup by household tier; underlying quote screenshot, age/ZIP adjustment and Oct 2026 price unavailable. Illustrative only.</x:v>
      </x:c>
      <x:c r="K52" s="2" t="str">
        <x:v>S46</x:v>
      </x:c>
      <x:c r="L52" s="2" t="str">
        <x:v>X1 Plans</x:v>
      </x:c>
    </x:row>
    <x:row r="53" ht="65" customHeight="1">
      <x:c r="A53" s="9" t="str">
        <x:v>P45</x:v>
      </x:c>
      <x:c r="B53" s="9" t="str">
        <x:v>AFI / Enroll Prime</x:v>
      </x:c>
      <x:c r="C53" s="9" t="str">
        <x:v>AFI 3500 HSA</x:v>
      </x:c>
      <x:c r="D53" s="10" t="n">
        <x:v>1189.78</x:v>
      </x:c>
      <x:c r="E53" s="10" t="n">
        <x:v>685.81</x:v>
      </x:c>
      <x:c r="F53" s="10" t="n">
        <x:v>1805.5</x:v>
      </x:c>
      <x:c r="G53" s="10" t="n">
        <x:f>IF(ISNUMBER(D53),D53*12,"Unverified")</x:f>
        <x:v>14277.36</x:v>
      </x:c>
      <x:c r="H53" s="10" t="n">
        <x:f>IF(ISNUMBER(E53),E53*12,"Unverified")</x:f>
        <x:v>8229.72</x:v>
      </x:c>
      <x:c r="I53" s="10" t="n">
        <x:f>IF(ISNUMBER(F53),F53*12,"Unverified")</x:f>
        <x:v>21666</x:v>
      </x:c>
      <x:c r="J53" s="12" t="str">
        <x:v>X1 secondary workbook transcribes Enroll Prime portal popup by household tier; underlying quote screenshot, age/ZIP adjustment and Oct 2026 price unavailable. Illustrative only.</x:v>
      </x:c>
      <x:c r="K53" s="9" t="str">
        <x:v>S47</x:v>
      </x:c>
      <x:c r="L53" s="9" t="str">
        <x:v>X1 Plans</x:v>
      </x:c>
    </x:row>
    <x:row r="54" ht="65" customHeight="1">
      <x:c r="A54" s="2" t="str">
        <x:v>P46</x:v>
      </x:c>
      <x:c r="B54" s="2" t="str">
        <x:v>AFI / Enroll Prime</x:v>
      </x:c>
      <x:c r="C54" s="2" t="str">
        <x:v>AFI 4500 Copay</x:v>
      </x:c>
      <x:c r="D54" s="11" t="n">
        <x:v>1273.36</x:v>
      </x:c>
      <x:c r="E54" s="11" t="n">
        <x:v>722.62</x:v>
      </x:c>
      <x:c r="F54" s="11" t="n">
        <x:v>1841.97</x:v>
      </x:c>
      <x:c r="G54" s="11" t="n">
        <x:f>IF(ISNUMBER(D54),D54*12,"Unverified")</x:f>
        <x:v>15280.32</x:v>
      </x:c>
      <x:c r="H54" s="11" t="n">
        <x:f>IF(ISNUMBER(E54),E54*12,"Unverified")</x:f>
        <x:v>8671.44</x:v>
      </x:c>
      <x:c r="I54" s="11" t="n">
        <x:f>IF(ISNUMBER(F54),F54*12,"Unverified")</x:f>
        <x:v>22103.64</x:v>
      </x:c>
      <x:c r="J54" s="13" t="str">
        <x:v>X1 secondary workbook transcribes Enroll Prime portal popup by household tier; underlying quote screenshot, age/ZIP adjustment and Oct 2026 price unavailable. Illustrative only.</x:v>
      </x:c>
      <x:c r="K54" s="2" t="str">
        <x:v>S48</x:v>
      </x:c>
      <x:c r="L54" s="2" t="str">
        <x:v>X1 Plans</x:v>
      </x:c>
    </x:row>
    <x:row r="55" ht="65" customHeight="1">
      <x:c r="A55" s="9" t="str">
        <x:v>P47</x:v>
      </x:c>
      <x:c r="B55" s="9" t="str">
        <x:v>AFI / Enroll Prime</x:v>
      </x:c>
      <x:c r="C55" s="9" t="str">
        <x:v>AFI 3500 Copay</x:v>
      </x:c>
      <x:c r="D55" s="10" t="n">
        <x:v>1427.43</x:v>
      </x:c>
      <x:c r="E55" s="10" t="n">
        <x:v>815.44</x:v>
      </x:c>
      <x:c r="F55" s="10" t="n">
        <x:v>2096.72</x:v>
      </x:c>
      <x:c r="G55" s="10" t="n">
        <x:f>IF(ISNUMBER(D55),D55*12,"Unverified")</x:f>
        <x:v>17129.16</x:v>
      </x:c>
      <x:c r="H55" s="10" t="n">
        <x:f>IF(ISNUMBER(E55),E55*12,"Unverified")</x:f>
        <x:v>9785.28</x:v>
      </x:c>
      <x:c r="I55" s="10" t="n">
        <x:f>IF(ISNUMBER(F55),F55*12,"Unverified")</x:f>
        <x:v>25160.64</x:v>
      </x:c>
      <x:c r="J55" s="12" t="str">
        <x:v>X1 secondary workbook transcribes Enroll Prime portal popup by household tier; underlying quote screenshot, age/ZIP adjustment and Oct 2026 price unavailable. Illustrative only.</x:v>
      </x:c>
      <x:c r="K55" s="9" t="str">
        <x:v>S49</x:v>
      </x:c>
      <x:c r="L55" s="9" t="str">
        <x:v>X1 Plans</x:v>
      </x:c>
    </x:row>
    <x:row r="56" ht="65" customHeight="1">
      <x:c r="A56" s="2" t="str">
        <x:v>P48</x:v>
      </x:c>
      <x:c r="B56" s="2" t="str">
        <x:v>BMI / Enroll Prime</x:v>
      </x:c>
      <x:c r="C56" s="2" t="str">
        <x:v>BMI MVP Basic</x:v>
      </x:c>
      <x:c r="D56" s="11" t="n">
        <x:v>818.8</x:v>
      </x:c>
      <x:c r="E56" s="11" t="n">
        <x:v>583.51</x:v>
      </x:c>
      <x:c r="F56" s="11" t="n">
        <x:v>1160.54</x:v>
      </x:c>
      <x:c r="G56" s="11" t="n">
        <x:f>IF(ISNUMBER(D56),D56*12,"Unverified")</x:f>
        <x:v>9825.599999999999</x:v>
      </x:c>
      <x:c r="H56" s="11" t="n">
        <x:f>IF(ISNUMBER(E56),E56*12,"Unverified")</x:f>
        <x:v>7002.12</x:v>
      </x:c>
      <x:c r="I56" s="11" t="n">
        <x:f>IF(ISNUMBER(F56),F56*12,"Unverified")</x:f>
        <x:v>13926.48</x:v>
      </x:c>
      <x:c r="J56" s="13" t="str">
        <x:v>BMI brochure S56 household-tier schedule; no age/ZIP adjustment shown. Tier eligibility and Oct 2026 price need confirmation.</x:v>
      </x:c>
      <x:c r="K56" s="2" t="str">
        <x:v>S50</x:v>
      </x:c>
      <x:c r="L56" s="2" t="str">
        <x:v>X1 Plans; S56 p.8</x:v>
      </x:c>
    </x:row>
    <x:row r="57" ht="65" customHeight="1">
      <x:c r="A57" s="9" t="str">
        <x:v>P49</x:v>
      </x:c>
      <x:c r="B57" s="9" t="str">
        <x:v>BMI / Enroll Prime</x:v>
      </x:c>
      <x:c r="C57" s="9" t="str">
        <x:v>BMI MVP Value</x:v>
      </x:c>
      <x:c r="D57" s="10" t="n">
        <x:v>927.93</x:v>
      </x:c>
      <x:c r="E57" s="10" t="n">
        <x:v>644.12</x:v>
      </x:c>
      <x:c r="F57" s="10" t="n">
        <x:v>1342.39</x:v>
      </x:c>
      <x:c r="G57" s="10" t="n">
        <x:f>IF(ISNUMBER(D57),D57*12,"Unverified")</x:f>
        <x:v>11135.16</x:v>
      </x:c>
      <x:c r="H57" s="10" t="n">
        <x:f>IF(ISNUMBER(E57),E57*12,"Unverified")</x:f>
        <x:v>7729.4400000000005</x:v>
      </x:c>
      <x:c r="I57" s="10" t="n">
        <x:f>IF(ISNUMBER(F57),F57*12,"Unverified")</x:f>
        <x:v>16108.68</x:v>
      </x:c>
      <x:c r="J57" s="12" t="str">
        <x:v>BMI brochure S56 household-tier schedule; no age/ZIP adjustment shown. Tier eligibility and Oct 2026 price need confirmation.</x:v>
      </x:c>
      <x:c r="K57" s="9" t="str">
        <x:v>S51</x:v>
      </x:c>
      <x:c r="L57" s="9" t="str">
        <x:v>X1 Plans; S56 p.8</x:v>
      </x:c>
    </x:row>
    <x:row r="58" ht="65" customHeight="1">
      <x:c r="A58" s="2" t="str">
        <x:v>P50</x:v>
      </x:c>
      <x:c r="B58" s="2" t="str">
        <x:v>BMI / Enroll Prime</x:v>
      </x:c>
      <x:c r="C58" s="2" t="str">
        <x:v>BMI MVP Advantage</x:v>
      </x:c>
      <x:c r="D58" s="11" t="n">
        <x:v>989.21</x:v>
      </x:c>
      <x:c r="E58" s="11" t="n">
        <x:v>691.45</x:v>
      </x:c>
      <x:c r="F58" s="11" t="n">
        <x:v>1435.86</x:v>
      </x:c>
      <x:c r="G58" s="11" t="n">
        <x:f>IF(ISNUMBER(D58),D58*12,"Unverified")</x:f>
        <x:v>11870.52</x:v>
      </x:c>
      <x:c r="H58" s="11" t="n">
        <x:f>IF(ISNUMBER(E58),E58*12,"Unverified")</x:f>
        <x:v>8297.400000000001</x:v>
      </x:c>
      <x:c r="I58" s="11" t="n">
        <x:f>IF(ISNUMBER(F58),F58*12,"Unverified")</x:f>
        <x:v>17230.32</x:v>
      </x:c>
      <x:c r="J58" s="13" t="str">
        <x:v>BMI brochure S56 household-tier schedule; no age/ZIP adjustment shown. Tier eligibility and Oct 2026 price need confirmation.</x:v>
      </x:c>
      <x:c r="K58" s="2" t="str">
        <x:v>S52</x:v>
      </x:c>
      <x:c r="L58" s="2" t="str">
        <x:v>X1 Plans; S56 p.8</x:v>
      </x:c>
    </x:row>
    <x:row r="59" ht="65" customHeight="1">
      <x:c r="A59" s="9" t="str">
        <x:v>P51</x:v>
      </x:c>
      <x:c r="B59" s="9" t="str">
        <x:v>BMI / Enroll Prime</x:v>
      </x:c>
      <x:c r="C59" s="9" t="str">
        <x:v>BMI DVP Essentials 7500</x:v>
      </x:c>
      <x:c r="D59" s="10" t="n">
        <x:v>565.08</x:v>
      </x:c>
      <x:c r="E59" s="10" t="n">
        <x:v>372.28</x:v>
      </x:c>
      <x:c r="F59" s="10" t="n">
        <x:v>830.28</x:v>
      </x:c>
      <x:c r="G59" s="10" t="n">
        <x:f>IF(ISNUMBER(D59),D59*12,"Unverified")</x:f>
        <x:v>6780.960000000001</x:v>
      </x:c>
      <x:c r="H59" s="10" t="n">
        <x:f>IF(ISNUMBER(E59),E59*12,"Unverified")</x:f>
        <x:v>4467.36</x:v>
      </x:c>
      <x:c r="I59" s="10" t="n">
        <x:f>IF(ISNUMBER(F59),F59*12,"Unverified")</x:f>
        <x:v>9963.36</x:v>
      </x:c>
      <x:c r="J59" s="12" t="str">
        <x:v>BMI brochure S56 household-tier schedule; no age/ZIP adjustment shown. Tier eligibility and Oct 2026 price need confirmation.</x:v>
      </x:c>
      <x:c r="K59" s="9" t="str">
        <x:v>S53</x:v>
      </x:c>
      <x:c r="L59" s="9" t="str">
        <x:v>X1 Plans; S56 p.8</x:v>
      </x:c>
    </x:row>
    <x:row r="60" ht="65" customHeight="1">
      <x:c r="A60" s="2" t="str">
        <x:v>P52</x:v>
      </x:c>
      <x:c r="B60" s="2" t="str">
        <x:v>BMI / Enroll Prime</x:v>
      </x:c>
      <x:c r="C60" s="2" t="str">
        <x:v>BMI DVP Essentials 5000</x:v>
      </x:c>
      <x:c r="D60" s="11" t="n">
        <x:v>626.28</x:v>
      </x:c>
      <x:c r="E60" s="11" t="n">
        <x:v>433.48</x:v>
      </x:c>
      <x:c r="F60" s="11" t="n">
        <x:v>891.48</x:v>
      </x:c>
      <x:c r="G60" s="11" t="n">
        <x:f>IF(ISNUMBER(D60),D60*12,"Unverified")</x:f>
        <x:v>7515.36</x:v>
      </x:c>
      <x:c r="H60" s="11" t="n">
        <x:f>IF(ISNUMBER(E60),E60*12,"Unverified")</x:f>
        <x:v>5201.76</x:v>
      </x:c>
      <x:c r="I60" s="11" t="n">
        <x:f>IF(ISNUMBER(F60),F60*12,"Unverified")</x:f>
        <x:v>10697.76</x:v>
      </x:c>
      <x:c r="J60" s="13" t="str">
        <x:v>BMI brochure S56 household-tier schedule; no age/ZIP adjustment shown. Tier eligibility and Oct 2026 price need confirmation.</x:v>
      </x:c>
      <x:c r="K60" s="2" t="str">
        <x:v>S54</x:v>
      </x:c>
      <x:c r="L60" s="2" t="str">
        <x:v>X1 Plans; S56 p.8</x:v>
      </x:c>
    </x:row>
    <x:row r="61" ht="65" customHeight="1">
      <x:c r="A61" s="9" t="str">
        <x:v>P53</x:v>
      </x:c>
      <x:c r="B61" s="9" t="str">
        <x:v>BMI / Enroll Prime</x:v>
      </x:c>
      <x:c r="C61" s="9" t="str">
        <x:v>BMI DVP Essentials 2500</x:v>
      </x:c>
      <x:c r="D61" s="10" t="n">
        <x:v>667.08</x:v>
      </x:c>
      <x:c r="E61" s="10" t="n">
        <x:v>514.08</x:v>
      </x:c>
      <x:c r="F61" s="10" t="n">
        <x:v>973.08</x:v>
      </x:c>
      <x:c r="G61" s="10" t="n">
        <x:f>IF(ISNUMBER(D61),D61*12,"Unverified")</x:f>
        <x:v>8004.960000000001</x:v>
      </x:c>
      <x:c r="H61" s="10" t="n">
        <x:f>IF(ISNUMBER(E61),E61*12,"Unverified")</x:f>
        <x:v>6168.960000000001</x:v>
      </x:c>
      <x:c r="I61" s="10" t="n">
        <x:f>IF(ISNUMBER(F61),F61*12,"Unverified")</x:f>
        <x:v>11676.960000000001</x:v>
      </x:c>
      <x:c r="J61" s="12" t="str">
        <x:v>BMI brochure S56 household-tier schedule; no age/ZIP adjustment shown. Tier eligibility and Oct 2026 price need confirmation.</x:v>
      </x:c>
      <x:c r="K61" s="9" t="str">
        <x:v>S55</x:v>
      </x:c>
      <x:c r="L61" s="9" t="str">
        <x:v>X1 Plans; S56 p.8</x:v>
      </x:c>
    </x:row>
    <x:row r="62" ht="65" customHeight="1">
      <x:c r="A62" s="2" t="str">
        <x:v>P54</x:v>
      </x:c>
      <x:c r="B62" s="2" t="str">
        <x:v>BMI / Enroll Prime</x:v>
      </x:c>
      <x:c r="C62" s="2" t="str">
        <x:v>BMI MEC Classic</x:v>
      </x:c>
      <x:c r="D62" s="11" t="n">
        <x:v>181.9</x:v>
      </x:c>
      <x:c r="E62" s="11" t="n">
        <x:v>127.5</x:v>
      </x:c>
      <x:c r="F62" s="11" t="n">
        <x:v>231.67</x:v>
      </x:c>
      <x:c r="G62" s="11" t="n">
        <x:f>IF(ISNUMBER(D62),D62*12,"Unverified")</x:f>
        <x:v>2182.8</x:v>
      </x:c>
      <x:c r="H62" s="11" t="n">
        <x:f>IF(ISNUMBER(E62),E62*12,"Unverified")</x:f>
        <x:v>1530</x:v>
      </x:c>
      <x:c r="I62" s="11" t="n">
        <x:f>IF(ISNUMBER(F62),F62*12,"Unverified")</x:f>
        <x:v>2780.04</x:v>
      </x:c>
      <x:c r="J62" s="13" t="str">
        <x:v>BMI brochure S56 household-tier schedule; no age/ZIP adjustment shown. Tier eligibility and Oct 2026 price need confirmation.</x:v>
      </x:c>
      <x:c r="K62" s="2" t="str">
        <x:v>S56</x:v>
      </x:c>
      <x:c r="L62" s="2" t="str">
        <x:v>X1 Plans; S56 p.8</x:v>
      </x:c>
    </x:row>
    <x:row r="63" ht="65" customHeight="1">
      <x:c r="A63" s="9" t="str">
        <x:v>P55</x:v>
      </x:c>
      <x:c r="B63" s="9" t="str">
        <x:v>BMI / Enroll Prime</x:v>
      </x:c>
      <x:c r="C63" s="9" t="str">
        <x:v>BMI MEC Choice</x:v>
      </x:c>
      <x:c r="D63" s="10" t="n">
        <x:v>290.7</x:v>
      </x:c>
      <x:c r="E63" s="10" t="n">
        <x:v>209.1</x:v>
      </x:c>
      <x:c r="F63" s="10" t="n">
        <x:v>399.5</x:v>
      </x:c>
      <x:c r="G63" s="10" t="n">
        <x:f>IF(ISNUMBER(D63),D63*12,"Unverified")</x:f>
        <x:v>3488.3999999999996</x:v>
      </x:c>
      <x:c r="H63" s="10" t="n">
        <x:f>IF(ISNUMBER(E63),E63*12,"Unverified")</x:f>
        <x:v>2509.2</x:v>
      </x:c>
      <x:c r="I63" s="10" t="n">
        <x:f>IF(ISNUMBER(F63),F63*12,"Unverified")</x:f>
        <x:v>4794</x:v>
      </x:c>
      <x:c r="J63" s="12" t="str">
        <x:v>BMI brochure S56 household-tier schedule; no age/ZIP adjustment shown. Tier eligibility and Oct 2026 price need confirmation.</x:v>
      </x:c>
      <x:c r="K63" s="9" t="str">
        <x:v>S56</x:v>
      </x:c>
      <x:c r="L63" s="9" t="str">
        <x:v>X1 Plans; S56 p.8</x:v>
      </x:c>
    </x:row>
    <x:row r="64" ht="65" customHeight="1">
      <x:c r="A64" s="2" t="str">
        <x:v>P56</x:v>
      </x:c>
      <x:c r="B64" s="2" t="str">
        <x:v>Vault / ACUSA</x:v>
      </x:c>
      <x:c r="C64" s="2" t="str">
        <x:v>Vault Elite Health USA</x:v>
      </x:c>
      <x:c r="D64" s="11" t="str">
        <x:v>Unverified</x:v>
      </x:c>
      <x:c r="E64" s="11" t="str">
        <x:v>Unverified</x:v>
      </x:c>
      <x:c r="F64" s="11" t="str">
        <x:v>Unverified</x:v>
      </x:c>
      <x:c r="G64" s="11" t="str">
        <x:f>IF(ISNUMBER(D64),D64*12,"Unverified")</x:f>
        <x:v>Unverified</x:v>
      </x:c>
      <x:c r="H64" s="11" t="str">
        <x:f>IF(ISNUMBER(E64),E64*12,"Unverified")</x:f>
        <x:v>Unverified</x:v>
      </x:c>
      <x:c r="I64" s="11" t="str">
        <x:f>IF(ISNUMBER(F64),F64*12,"Unverified")</x:f>
        <x:v>Unverified</x:v>
      </x:c>
      <x:c r="J64" s="13" t="str">
        <x:v>No premium schedule supplied. X1 also lists no premium.</x:v>
      </x:c>
      <x:c r="K64" s="2" t="str">
        <x:v>S57</x:v>
      </x:c>
      <x:c r="L64" s="2" t="str">
        <x:v>Not supplied</x:v>
      </x:c>
    </x:row>
    <x:row r="65" ht="65" customHeight="1">
      <x:c r="A65" s="9" t="str">
        <x:v>P57</x:v>
      </x:c>
      <x:c r="B65" s="9" t="str">
        <x:v>Vault / ACUSA</x:v>
      </x:c>
      <x:c r="C65" s="9" t="str">
        <x:v>Vault Elite Health Plus USA</x:v>
      </x:c>
      <x:c r="D65" s="10" t="str">
        <x:v>Unverified</x:v>
      </x:c>
      <x:c r="E65" s="10" t="str">
        <x:v>Unverified</x:v>
      </x:c>
      <x:c r="F65" s="10" t="str">
        <x:v>Unverified</x:v>
      </x:c>
      <x:c r="G65" s="10" t="str">
        <x:f>IF(ISNUMBER(D65),D65*12,"Unverified")</x:f>
        <x:v>Unverified</x:v>
      </x:c>
      <x:c r="H65" s="10" t="str">
        <x:f>IF(ISNUMBER(E65),E65*12,"Unverified")</x:f>
        <x:v>Unverified</x:v>
      </x:c>
      <x:c r="I65" s="10" t="str">
        <x:f>IF(ISNUMBER(F65),F65*12,"Unverified")</x:f>
        <x:v>Unverified</x:v>
      </x:c>
      <x:c r="J65" s="12" t="str">
        <x:v>No premium schedule supplied. X1 also lists no premium.</x:v>
      </x:c>
      <x:c r="K65" s="9" t="str">
        <x:v>S58</x:v>
      </x:c>
      <x:c r="L65" s="9" t="str">
        <x:v>Not supplied</x:v>
      </x:c>
    </x:row>
    <x:row r="66" ht="65" customHeight="1">
      <x:c r="A66" s="2" t="str">
        <x:v>P58</x:v>
      </x:c>
      <x:c r="B66" s="2" t="str">
        <x:v>Vault / ACUSA</x:v>
      </x:c>
      <x:c r="C66" s="2" t="str">
        <x:v>Vault Bronze 2</x:v>
      </x:c>
      <x:c r="D66" s="11" t="str">
        <x:v>Unverified</x:v>
      </x:c>
      <x:c r="E66" s="11" t="str">
        <x:v>Unverified</x:v>
      </x:c>
      <x:c r="F66" s="11" t="str">
        <x:v>Unverified</x:v>
      </x:c>
      <x:c r="G66" s="11" t="str">
        <x:f>IF(ISNUMBER(D66),D66*12,"Unverified")</x:f>
        <x:v>Unverified</x:v>
      </x:c>
      <x:c r="H66" s="11" t="str">
        <x:f>IF(ISNUMBER(E66),E66*12,"Unverified")</x:f>
        <x:v>Unverified</x:v>
      </x:c>
      <x:c r="I66" s="11" t="str">
        <x:f>IF(ISNUMBER(F66),F66*12,"Unverified")</x:f>
        <x:v>Unverified</x:v>
      </x:c>
      <x:c r="J66" s="13" t="str">
        <x:v>No premium schedule supplied. X1 also lists no premium.</x:v>
      </x:c>
      <x:c r="K66" s="2" t="str">
        <x:v>S59</x:v>
      </x:c>
      <x:c r="L66" s="2" t="str">
        <x:v>Not supplied</x:v>
      </x:c>
    </x:row>
    <x:row r="67" ht="65" customHeight="1">
      <x:c r="A67" s="9" t="str">
        <x:v>P59</x:v>
      </x:c>
      <x:c r="B67" s="9" t="str">
        <x:v>Vault / ACUSA</x:v>
      </x:c>
      <x:c r="C67" s="9" t="str">
        <x:v>Vault Silver 2</x:v>
      </x:c>
      <x:c r="D67" s="10" t="str">
        <x:v>Unverified</x:v>
      </x:c>
      <x:c r="E67" s="10" t="str">
        <x:v>Unverified</x:v>
      </x:c>
      <x:c r="F67" s="10" t="str">
        <x:v>Unverified</x:v>
      </x:c>
      <x:c r="G67" s="10" t="str">
        <x:f>IF(ISNUMBER(D67),D67*12,"Unverified")</x:f>
        <x:v>Unverified</x:v>
      </x:c>
      <x:c r="H67" s="10" t="str">
        <x:f>IF(ISNUMBER(E67),E67*12,"Unverified")</x:f>
        <x:v>Unverified</x:v>
      </x:c>
      <x:c r="I67" s="10" t="str">
        <x:f>IF(ISNUMBER(F67),F67*12,"Unverified")</x:f>
        <x:v>Unverified</x:v>
      </x:c>
      <x:c r="J67" s="12" t="str">
        <x:v>No premium schedule supplied. X1 also lists no premium.</x:v>
      </x:c>
      <x:c r="K67" s="9" t="str">
        <x:v>S60</x:v>
      </x:c>
      <x:c r="L67" s="9" t="str">
        <x:v>Not supplied</x:v>
      </x:c>
    </x:row>
    <x:row r="68" ht="25" customHeight="1">
      <x:c r="A68" s="2"/>
      <x:c r="B68" s="2"/>
      <x:c r="C68" s="2"/>
      <x:c r="D68" s="2"/>
      <x:c r="E68" s="2"/>
      <x:c r="F68" s="2"/>
      <x:c r="G68" s="2"/>
      <x:c r="H68" s="2"/>
      <x:c r="I68" s="2"/>
      <x:c r="J68" s="2"/>
      <x:c r="K68" s="2"/>
      <x:c r="L68" s="2"/>
    </x:row>
    <x:row r="69" ht="25" customHeight="1">
      <x:c r="A69" s="2"/>
      <x:c r="B69" s="2"/>
      <x:c r="C69" s="2"/>
      <x:c r="D69" s="2"/>
      <x:c r="E69" s="2"/>
      <x:c r="F69" s="2"/>
      <x:c r="G69" s="2"/>
      <x:c r="H69" s="2"/>
      <x:c r="I69" s="2"/>
      <x:c r="J69" s="2"/>
      <x:c r="K69" s="2"/>
      <x:c r="L69" s="2"/>
    </x:row>
    <x:row r="70" ht="25" customHeight="1">
      <x:c r="A70" s="2"/>
      <x:c r="B70" s="2"/>
      <x:c r="C70" s="2"/>
      <x:c r="D70" s="2"/>
      <x:c r="E70" s="2"/>
      <x:c r="F70" s="2"/>
      <x:c r="G70" s="2"/>
      <x:c r="H70" s="2"/>
      <x:c r="I70" s="2"/>
      <x:c r="J70" s="2"/>
      <x:c r="K70" s="2"/>
      <x:c r="L70" s="2"/>
    </x:row>
    <x:row r="71" ht="25" customHeight="1">
      <x:c r="A71" s="2"/>
      <x:c r="B71" s="2"/>
      <x:c r="C71" s="2"/>
      <x:c r="D71" s="2"/>
      <x:c r="E71" s="2"/>
      <x:c r="F71" s="2"/>
      <x:c r="G71" s="2"/>
      <x:c r="H71" s="2"/>
      <x:c r="I71" s="2"/>
      <x:c r="J71" s="2"/>
      <x:c r="K71" s="2"/>
      <x:c r="L71" s="2"/>
    </x:row>
  </x:sheetData>
  <x:pageMargins left="0.7" right="0.7" top="0.75" bottom="0.75" header="0.3" footer="0.3"/>
  <x:tableParts count="1">
    <x:tablePart xmlns:r="http://schemas.openxmlformats.org/officeDocument/2006/relationships" r:id="R93f1e840ae4c4fb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0" hidden="0" customWidth="1"/>
    <x:col min="2" max="2" width="75" hidden="0" customWidth="1"/>
    <x:col min="3" max="3" width="22" hidden="0" customWidth="1"/>
    <x:col min="4" max="4" width="105" hidden="0" customWidth="1"/>
  </x:cols>
  <x:sheetData>
    <x:row r="1" ht="25" customHeight="1">
      <x:c r="A1" s="2"/>
      <x:c r="B1" s="2"/>
      <x:c r="C1" s="2"/>
      <x:c r="D1" s="2"/>
    </x:row>
    <x:row r="2" ht="30" customHeight="1">
      <x:c r="A2" s="3" t="str">
        <x:v>Source register</x:v>
      </x:c>
      <x:c r="B2" s="2"/>
      <x:c r="C2" s="2"/>
      <x:c r="D2" s="2"/>
    </x:row>
    <x:row r="3" ht="25" customHeight="1">
      <x:c r="A3" s="2"/>
      <x:c r="B3" s="2"/>
      <x:c r="C3" s="2"/>
      <x:c r="D3" s="2"/>
    </x:row>
    <x:row r="4" ht="25" customHeight="1">
      <x:c r="A4" s="4" t="str">
        <x:v>Source numbers refer to the uploaded ZIP. Page references use physical PDF pages. Duplicate PDFs were counted once.</x:v>
      </x:c>
      <x:c r="B4" s="2"/>
      <x:c r="C4" s="2"/>
      <x:c r="D4" s="2"/>
    </x:row>
    <x:row r="5" ht="25" customHeight="1">
      <x:c r="A5" s="2"/>
      <x:c r="B5" s="2"/>
      <x:c r="C5" s="2"/>
      <x:c r="D5" s="2"/>
    </x:row>
    <x:row r="6" ht="25" customHeight="1">
      <x:c r="A6" s="8" t="str">
        <x:v>Source</x:v>
      </x:c>
      <x:c r="B6" s="8" t="str">
        <x:v>Document or web page</x:v>
      </x:c>
      <x:c r="C6" s="8" t="str">
        <x:v>Pages / review date</x:v>
      </x:c>
      <x:c r="D6" s="8" t="str">
        <x:v>Location / purpose</x:v>
      </x:c>
    </x:row>
    <x:row r="7" ht="42" customHeight="1">
      <x:c r="A7" s="13" t="str">
        <x:v>S01</x:v>
      </x:c>
      <x:c r="B7" s="13" t="str">
        <x:v>Amerus Summit EPO Deductible Gap Explained.pdf</x:v>
      </x:c>
      <x:c r="C7" s="13" t="n">
        <x:v>1</x:v>
      </x:c>
      <x:c r="D7" s="13" t="str">
        <x:v>Uploaded U65-OFF-EXCHANGE-COMPARISON.zip</x:v>
      </x:c>
    </x:row>
    <x:row r="8" ht="42" customHeight="1">
      <x:c r="A8" s="13" t="str">
        <x:v>S03</x:v>
      </x:c>
      <x:c r="B8" s="13" t="str">
        <x:v>Ultimate EPO 1500 Brochure.pdf</x:v>
      </x:c>
      <x:c r="C8" s="13" t="n">
        <x:v>6</x:v>
      </x:c>
      <x:c r="D8" s="13" t="str">
        <x:v>Uploaded U65-OFF-EXCHANGE-COMPARISON.zip</x:v>
      </x:c>
    </x:row>
    <x:row r="9" ht="42" customHeight="1">
      <x:c r="A9" s="13" t="str">
        <x:v>S04</x:v>
      </x:c>
      <x:c r="B9" s="13" t="str">
        <x:v>Ultimate EPO 1500 SBC.pdf</x:v>
      </x:c>
      <x:c r="C9" s="13" t="n">
        <x:v>5</x:v>
      </x:c>
      <x:c r="D9" s="13" t="str">
        <x:v>Uploaded U65-OFF-EXCHANGE-COMPARISON.zip</x:v>
      </x:c>
    </x:row>
    <x:row r="10" ht="42" customHeight="1">
      <x:c r="A10" s="13" t="str">
        <x:v>S05</x:v>
      </x:c>
      <x:c r="B10" s="13" t="str">
        <x:v>Ultimate EPO 3500 Brochure.pdf</x:v>
      </x:c>
      <x:c r="C10" s="13" t="n">
        <x:v>6</x:v>
      </x:c>
      <x:c r="D10" s="13" t="str">
        <x:v>Uploaded U65-OFF-EXCHANGE-COMPARISON.zip</x:v>
      </x:c>
    </x:row>
    <x:row r="11" ht="42" customHeight="1">
      <x:c r="A11" s="13" t="str">
        <x:v>S06</x:v>
      </x:c>
      <x:c r="B11" s="13" t="str">
        <x:v>Ultimate EPO 3500 SBC.pdf</x:v>
      </x:c>
      <x:c r="C11" s="13" t="n">
        <x:v>5</x:v>
      </x:c>
      <x:c r="D11" s="13" t="str">
        <x:v>Uploaded U65-OFF-EXCHANGE-COMPARISON.zip</x:v>
      </x:c>
    </x:row>
    <x:row r="12" ht="42" customHeight="1">
      <x:c r="A12" s="13" t="str">
        <x:v>S07</x:v>
      </x:c>
      <x:c r="B12" s="13" t="str">
        <x:v>Ultimate HSA SBC.pdf</x:v>
      </x:c>
      <x:c r="C12" s="13" t="n">
        <x:v>6</x:v>
      </x:c>
      <x:c r="D12" s="13" t="str">
        <x:v>Uploaded U65-OFF-EXCHANGE-COMPARISON.zip</x:v>
      </x:c>
    </x:row>
    <x:row r="13" ht="42" customHeight="1">
      <x:c r="A13" s="13" t="str">
        <x:v>S08</x:v>
      </x:c>
      <x:c r="B13" s="13" t="str">
        <x:v>Ultimate PPO Brochure.pdf</x:v>
      </x:c>
      <x:c r="C13" s="13" t="n">
        <x:v>6</x:v>
      </x:c>
      <x:c r="D13" s="13" t="str">
        <x:v>Uploaded U65-OFF-EXCHANGE-COMPARISON.zip</x:v>
      </x:c>
    </x:row>
    <x:row r="14" ht="42" customHeight="1">
      <x:c r="A14" s="13" t="str">
        <x:v>S09</x:v>
      </x:c>
      <x:c r="B14" s="13" t="str">
        <x:v>Ultimate PPO SBC.pdf</x:v>
      </x:c>
      <x:c r="C14" s="13" t="n">
        <x:v>7</x:v>
      </x:c>
      <x:c r="D14" s="13" t="str">
        <x:v>Uploaded U65-OFF-EXCHANGE-COMPARISON.zip</x:v>
      </x:c>
    </x:row>
    <x:row r="15" ht="42" customHeight="1">
      <x:c r="A15" s="13" t="str">
        <x:v>S10</x:v>
      </x:c>
      <x:c r="B15" s="13" t="str">
        <x:v>VerusRx 2026 Base Formulary Drug-List.pdf</x:v>
      </x:c>
      <x:c r="C15" s="13" t="n">
        <x:v>13</x:v>
      </x:c>
      <x:c r="D15" s="13" t="str">
        <x:v>Uploaded U65-OFF-EXCHANGE-COMPARISON.zip</x:v>
      </x:c>
    </x:row>
    <x:row r="16" ht="42" customHeight="1">
      <x:c r="A16" s="13" t="str">
        <x:v>S11</x:v>
      </x:c>
      <x:c r="B16" s="13" t="str">
        <x:v>MEDMAX_FHN_11_19_2025 (8).pdf</x:v>
      </x:c>
      <x:c r="C16" s="13" t="n">
        <x:v>10</x:v>
      </x:c>
      <x:c r="D16" s="13" t="str">
        <x:v>Uploaded U65-OFF-EXCHANGE-COMPARISON.zip</x:v>
      </x:c>
    </x:row>
    <x:row r="17" ht="42" customHeight="1">
      <x:c r="A17" s="13" t="str">
        <x:v>S12</x:v>
      </x:c>
      <x:c r="B17" s="13" t="str">
        <x:v>MedAccess_Brochure_04_30_26 (6).pdf</x:v>
      </x:c>
      <x:c r="C17" s="13" t="n">
        <x:v>4</x:v>
      </x:c>
      <x:c r="D17" s="13" t="str">
        <x:v>Uploaded U65-OFF-EXCHANGE-COMPARISON.zip</x:v>
      </x:c>
    </x:row>
    <x:row r="18" ht="42" customHeight="1">
      <x:c r="A18" s="13" t="str">
        <x:v>S17</x:v>
      </x:c>
      <x:c r="B18" s="13" t="str">
        <x:v>13_VL_1500_Rates_V2_4_3_16_26.pdf</x:v>
      </x:c>
      <x:c r="C18" s="13" t="n">
        <x:v>6</x:v>
      </x:c>
      <x:c r="D18" s="13" t="str">
        <x:v>Uploaded U65-OFF-EXCHANGE-COMPARISON.zip</x:v>
      </x:c>
    </x:row>
    <x:row r="19" ht="42" customHeight="1">
      <x:c r="A19" s="13" t="str">
        <x:v>S18</x:v>
      </x:c>
      <x:c r="B19" s="13" t="str">
        <x:v>1_HSA_3500_Rates_V4_3_3_16_26.pdf</x:v>
      </x:c>
      <x:c r="C19" s="13" t="n">
        <x:v>6</x:v>
      </x:c>
      <x:c r="D19" s="13" t="str">
        <x:v>Uploaded U65-OFF-EXCHANGE-COMPARISON.zip</x:v>
      </x:c>
    </x:row>
    <x:row r="20" ht="42" customHeight="1">
      <x:c r="A20" s="13" t="str">
        <x:v>S19</x:v>
      </x:c>
      <x:c r="B20" s="13" t="str">
        <x:v>1_MM_2500_Rates_V4_3_3_16_26.pdf</x:v>
      </x:c>
      <x:c r="C20" s="13" t="n">
        <x:v>6</x:v>
      </x:c>
      <x:c r="D20" s="13" t="str">
        <x:v>Uploaded U65-OFF-EXCHANGE-COMPARISON.zip</x:v>
      </x:c>
    </x:row>
    <x:row r="21" ht="42" customHeight="1">
      <x:c r="A21" s="13" t="str">
        <x:v>S20</x:v>
      </x:c>
      <x:c r="B21" s="13" t="str">
        <x:v>1_VL_750_Rates_V2_4_3_16_26.pdf</x:v>
      </x:c>
      <x:c r="C21" s="13" t="n">
        <x:v>6</x:v>
      </x:c>
      <x:c r="D21" s="13" t="str">
        <x:v>Uploaded U65-OFF-EXCHANGE-COMPARISON.zip</x:v>
      </x:c>
    </x:row>
    <x:row r="22" ht="42" customHeight="1">
      <x:c r="A22" s="13" t="str">
        <x:v>S21</x:v>
      </x:c>
      <x:c r="B22" s="13" t="str">
        <x:v>3_VL_1000_Rates_V2_4_3_16_26.pdf</x:v>
      </x:c>
      <x:c r="C22" s="13" t="n">
        <x:v>6</x:v>
      </x:c>
      <x:c r="D22" s="13" t="str">
        <x:v>Uploaded U65-OFF-EXCHANGE-COMPARISON.zip</x:v>
      </x:c>
    </x:row>
    <x:row r="23" ht="42" customHeight="1">
      <x:c r="A23" s="13" t="str">
        <x:v>S22</x:v>
      </x:c>
      <x:c r="B23" s="13" t="str">
        <x:v>4_HSA_5000_Rates_V4_3_3_16_26.pdf</x:v>
      </x:c>
      <x:c r="C23" s="13" t="n">
        <x:v>6</x:v>
      </x:c>
      <x:c r="D23" s="13" t="str">
        <x:v>Uploaded U65-OFF-EXCHANGE-COMPARISON.zip</x:v>
      </x:c>
    </x:row>
    <x:row r="24" ht="42" customHeight="1">
      <x:c r="A24" s="13" t="str">
        <x:v>S23</x:v>
      </x:c>
      <x:c r="B24" s="13" t="str">
        <x:v>4_MM_4900_Rates_V4_2_3_16_26.pdf</x:v>
      </x:c>
      <x:c r="C24" s="13" t="n">
        <x:v>6</x:v>
      </x:c>
      <x:c r="D24" s="13" t="str">
        <x:v>Uploaded U65-OFF-EXCHANGE-COMPARISON.zip</x:v>
      </x:c>
    </x:row>
    <x:row r="25" ht="42" customHeight="1">
      <x:c r="A25" s="13" t="str">
        <x:v>S24</x:v>
      </x:c>
      <x:c r="B25" s="13" t="str">
        <x:v>4_PHCS_PPO_750_Rates_V1_2_3_12_26.pdf</x:v>
      </x:c>
      <x:c r="C25" s="13" t="n">
        <x:v>5</x:v>
      </x:c>
      <x:c r="D25" s="13" t="str">
        <x:v>Uploaded U65-OFF-EXCHANGE-COMPARISON.zip</x:v>
      </x:c>
    </x:row>
    <x:row r="26" ht="42" customHeight="1">
      <x:c r="A26" s="13" t="str">
        <x:v>S25</x:v>
      </x:c>
      <x:c r="B26" s="13" t="str">
        <x:v>5_PHCS_PPO_1500_Rates_V1_2_3_12_26.pdf</x:v>
      </x:c>
      <x:c r="C26" s="13" t="n">
        <x:v>5</x:v>
      </x:c>
      <x:c r="D26" s="13" t="str">
        <x:v>Uploaded U65-OFF-EXCHANGE-COMPARISON.zip</x:v>
      </x:c>
    </x:row>
    <x:row r="27" ht="42" customHeight="1">
      <x:c r="A27" s="13" t="str">
        <x:v>S26</x:v>
      </x:c>
      <x:c r="B27" s="13" t="str">
        <x:v>6_MM_3500_Rates_V4_3_3_16_26.pdf</x:v>
      </x:c>
      <x:c r="C27" s="13" t="n">
        <x:v>6</x:v>
      </x:c>
      <x:c r="D27" s="13" t="str">
        <x:v>Uploaded U65-OFF-EXCHANGE-COMPARISON.zip</x:v>
      </x:c>
    </x:row>
    <x:row r="28" ht="42" customHeight="1">
      <x:c r="A28" s="13" t="str">
        <x:v>S27</x:v>
      </x:c>
      <x:c r="B28" s="13" t="str">
        <x:v>6_MM_7250_Rates_V4_2_3_16_26.pdf</x:v>
      </x:c>
      <x:c r="C28" s="13" t="n">
        <x:v>6</x:v>
      </x:c>
      <x:c r="D28" s="13" t="str">
        <x:v>Uploaded U65-OFF-EXCHANGE-COMPARISON.zip</x:v>
      </x:c>
    </x:row>
    <x:row r="29" ht="42" customHeight="1">
      <x:c r="A29" s="13" t="str">
        <x:v>S28</x:v>
      </x:c>
      <x:c r="B29" s="13" t="str">
        <x:v>6_VL_500_Rates_V2_4_3_16_26.pdf</x:v>
      </x:c>
      <x:c r="C29" s="13" t="n">
        <x:v>6</x:v>
      </x:c>
      <x:c r="D29" s="13" t="str">
        <x:v>Uploaded U65-OFF-EXCHANGE-COMPARISON.zip</x:v>
      </x:c>
    </x:row>
    <x:row r="30" ht="42" customHeight="1">
      <x:c r="A30" s="13" t="str">
        <x:v>S29</x:v>
      </x:c>
      <x:c r="B30" s="13" t="str">
        <x:v>7_HSA_8300_Rates_V4_3_3_16_26.pdf</x:v>
      </x:c>
      <x:c r="C30" s="13" t="n">
        <x:v>6</x:v>
      </x:c>
      <x:c r="D30" s="13" t="str">
        <x:v>Uploaded U65-OFF-EXCHANGE-COMPARISON.zip</x:v>
      </x:c>
    </x:row>
    <x:row r="31" ht="42" customHeight="1">
      <x:c r="A31" s="13" t="str">
        <x:v>S30</x:v>
      </x:c>
      <x:c r="B31" s="13" t="str">
        <x:v>7_MM_1000_Rates_V4_3_3_16_26.pdf</x:v>
      </x:c>
      <x:c r="C31" s="13" t="n">
        <x:v>6</x:v>
      </x:c>
      <x:c r="D31" s="13" t="str">
        <x:v>Uploaded U65-OFF-EXCHANGE-COMPARISON.zip</x:v>
      </x:c>
    </x:row>
    <x:row r="32" ht="42" customHeight="1">
      <x:c r="A32" s="13" t="str">
        <x:v>S31</x:v>
      </x:c>
      <x:c r="B32" s="13" t="str">
        <x:v>7_PHCS_PPO_500_Rates_V1_2_3_12_26.pdf</x:v>
      </x:c>
      <x:c r="C32" s="13" t="n">
        <x:v>5</x:v>
      </x:c>
      <x:c r="D32" s="13" t="str">
        <x:v>Uploaded U65-OFF-EXCHANGE-COMPARISON.zip</x:v>
      </x:c>
    </x:row>
    <x:row r="33" ht="42" customHeight="1">
      <x:c r="A33" s="13" t="str">
        <x:v>S32</x:v>
      </x:c>
      <x:c r="B33" s="13" t="str">
        <x:v>8_PHCS_PPO_1000_Rates_V1_2_3_12_26.pdf</x:v>
      </x:c>
      <x:c r="C33" s="13" t="n">
        <x:v>5</x:v>
      </x:c>
      <x:c r="D33" s="13" t="str">
        <x:v>Uploaded U65-OFF-EXCHANGE-COMPARISON.zip</x:v>
      </x:c>
    </x:row>
    <x:row r="34" ht="42" customHeight="1">
      <x:c r="A34" s="13" t="str">
        <x:v>S33</x:v>
      </x:c>
      <x:c r="B34" s="13" t="str">
        <x:v>01 PLAN - BLOOM HEALTH BROCHURE (stamped).pdf</x:v>
      </x:c>
      <x:c r="C34" s="13" t="n">
        <x:v>18</x:v>
      </x:c>
      <x:c r="D34" s="13" t="str">
        <x:v>Uploaded U65-OFF-EXCHANGE-COMPARISON.zip</x:v>
      </x:c>
    </x:row>
    <x:row r="35" ht="42" customHeight="1">
      <x:c r="A35" s="13" t="str">
        <x:v>S34</x:v>
      </x:c>
      <x:c r="B35" s="13" t="str">
        <x:v>02 PLAN - BLOOM HEALTH BROCHURE (stamped).pdf</x:v>
      </x:c>
      <x:c r="C35" s="13" t="n">
        <x:v>18</x:v>
      </x:c>
      <x:c r="D35" s="13" t="str">
        <x:v>Uploaded U65-OFF-EXCHANGE-COMPARISON.zip</x:v>
      </x:c>
    </x:row>
    <x:row r="36" ht="42" customHeight="1">
      <x:c r="A36" s="13" t="str">
        <x:v>S35</x:v>
      </x:c>
      <x:c r="B36" s="13" t="str">
        <x:v>03 PLAN - BLOOM HEALTH BROCHURE (stamped).pdf</x:v>
      </x:c>
      <x:c r="C36" s="13" t="n">
        <x:v>18</x:v>
      </x:c>
      <x:c r="D36" s="13" t="str">
        <x:v>Uploaded U65-OFF-EXCHANGE-COMPARISON.zip</x:v>
      </x:c>
    </x:row>
    <x:row r="37" ht="42" customHeight="1">
      <x:c r="A37" s="13" t="str">
        <x:v>S36</x:v>
      </x:c>
      <x:c r="B37" s="13" t="str">
        <x:v>04 PLAN - BLOOM HEALTH BROCHURE (stamped).pdf</x:v>
      </x:c>
      <x:c r="C37" s="13" t="n">
        <x:v>18</x:v>
      </x:c>
      <x:c r="D37" s="13" t="str">
        <x:v>Uploaded U65-OFF-EXCHANGE-COMPARISON.zip</x:v>
      </x:c>
    </x:row>
    <x:row r="38" ht="42" customHeight="1">
      <x:c r="A38" s="13" t="str">
        <x:v>S37</x:v>
      </x:c>
      <x:c r="B38" s="13" t="str">
        <x:v>05 PLAN - BLOOM HEALTH BROCHURE (stamped).pdf</x:v>
      </x:c>
      <x:c r="C38" s="13" t="n">
        <x:v>18</x:v>
      </x:c>
      <x:c r="D38" s="13" t="str">
        <x:v>Uploaded U65-OFF-EXCHANGE-COMPARISON.zip</x:v>
      </x:c>
    </x:row>
    <x:row r="39" ht="42" customHeight="1">
      <x:c r="A39" s="13" t="str">
        <x:v>S38</x:v>
      </x:c>
      <x:c r="B39" s="13" t="str">
        <x:v>06 PLAN - BLOOM HEALTH BROCHURE (stamped).pdf</x:v>
      </x:c>
      <x:c r="C39" s="13" t="n">
        <x:v>18</x:v>
      </x:c>
      <x:c r="D39" s="13" t="str">
        <x:v>Uploaded U65-OFF-EXCHANGE-COMPARISON.zip</x:v>
      </x:c>
    </x:row>
    <x:row r="40" ht="42" customHeight="1">
      <x:c r="A40" s="13" t="str">
        <x:v>S39</x:v>
      </x:c>
      <x:c r="B40" s="13" t="str">
        <x:v>07 PLAN - BLOOM HEALTH BROCHURE (stamped).pdf</x:v>
      </x:c>
      <x:c r="C40" s="13" t="n">
        <x:v>18</x:v>
      </x:c>
      <x:c r="D40" s="13" t="str">
        <x:v>Uploaded U65-OFF-EXCHANGE-COMPARISON.zip</x:v>
      </x:c>
    </x:row>
    <x:row r="41" ht="42" customHeight="1">
      <x:c r="A41" s="13" t="str">
        <x:v>S40</x:v>
      </x:c>
      <x:c r="B41" s="13" t="str">
        <x:v>Everest_ACMG_IL_Prime_2000V2_with_CI_2026-04-14_v04 (1).pdf</x:v>
      </x:c>
      <x:c r="C41" s="13" t="n">
        <x:v>10</x:v>
      </x:c>
      <x:c r="D41" s="13" t="str">
        <x:v>Uploaded U65-OFF-EXCHANGE-COMPARISON.zip</x:v>
      </x:c>
    </x:row>
    <x:row r="42" ht="42" customHeight="1">
      <x:c r="A42" s="13" t="str">
        <x:v>S46</x:v>
      </x:c>
      <x:c r="B42" s="13" t="str">
        <x:v>PHCS_SCHEDULE_10-26_8300HSA (1).pdf</x:v>
      </x:c>
      <x:c r="C42" s="13" t="str">
        <x:v>See PDF</x:v>
      </x:c>
      <x:c r="D42" s="13" t="str">
        <x:v>User-supplied October update</x:v>
      </x:c>
    </x:row>
    <x:row r="43" ht="42" customHeight="1">
      <x:c r="A43" s="13" t="str">
        <x:v>S47</x:v>
      </x:c>
      <x:c r="B43" s="13" t="str">
        <x:v>PHCS_SCHEDULE_10-26_3500HSA.pdf</x:v>
      </x:c>
      <x:c r="C43" s="13" t="str">
        <x:v>See PDF</x:v>
      </x:c>
      <x:c r="D43" s="13" t="str">
        <x:v>User-supplied October update</x:v>
      </x:c>
    </x:row>
    <x:row r="44" ht="42" customHeight="1">
      <x:c r="A44" s="13" t="str">
        <x:v>S48</x:v>
      </x:c>
      <x:c r="B44" s="13" t="str">
        <x:v>PHCS_SCHEDULE_10-26_4500Copay.pdf</x:v>
      </x:c>
      <x:c r="C44" s="13" t="str">
        <x:v>See PDF</x:v>
      </x:c>
      <x:c r="D44" s="13" t="str">
        <x:v>User-supplied October update</x:v>
      </x:c>
    </x:row>
    <x:row r="45" ht="42" customHeight="1">
      <x:c r="A45" s="13" t="str">
        <x:v>S49</x:v>
      </x:c>
      <x:c r="B45" s="13" t="str">
        <x:v>PHCS_SCHEDULE_10-26_3500Copay.pdf</x:v>
      </x:c>
      <x:c r="C45" s="13" t="str">
        <x:v>See PDF</x:v>
      </x:c>
      <x:c r="D45" s="13" t="str">
        <x:v>User-supplied October update</x:v>
      </x:c>
    </x:row>
    <x:row r="46" ht="42" customHeight="1">
      <x:c r="A46" s="13" t="str">
        <x:v>S50</x:v>
      </x:c>
      <x:c r="B46" s="13" t="str">
        <x:v>BASIC MVP™ SOB V3_3_26.pdf</x:v>
      </x:c>
      <x:c r="C46" s="13" t="str">
        <x:v>See PDF</x:v>
      </x:c>
      <x:c r="D46" s="13" t="str">
        <x:v>User-supplied October update</x:v>
      </x:c>
    </x:row>
    <x:row r="47" ht="42" customHeight="1">
      <x:c r="A47" s="13" t="str">
        <x:v>S51</x:v>
      </x:c>
      <x:c r="B47" s="13" t="str">
        <x:v>VALUE MVP™ SOB V3_3_26.pdf</x:v>
      </x:c>
      <x:c r="C47" s="13" t="str">
        <x:v>See PDF</x:v>
      </x:c>
      <x:c r="D47" s="13" t="str">
        <x:v>User-supplied October update</x:v>
      </x:c>
    </x:row>
    <x:row r="48" ht="42" customHeight="1">
      <x:c r="A48" s="13" t="str">
        <x:v>S52</x:v>
      </x:c>
      <x:c r="B48" s="13" t="str">
        <x:v>ADVANTAGE MVP™ SOB V3_3_26.pdf</x:v>
      </x:c>
      <x:c r="C48" s="13" t="str">
        <x:v>See PDF</x:v>
      </x:c>
      <x:c r="D48" s="13" t="str">
        <x:v>User-supplied October update</x:v>
      </x:c>
    </x:row>
    <x:row r="49" ht="42" customHeight="1">
      <x:c r="A49" s="13" t="str">
        <x:v>S53</x:v>
      </x:c>
      <x:c r="B49" s="13" t="str">
        <x:v>ESSENTIALS 7500 DVP™ SOB V3_3_26.pdf</x:v>
      </x:c>
      <x:c r="C49" s="13" t="str">
        <x:v>See PDF</x:v>
      </x:c>
      <x:c r="D49" s="13" t="str">
        <x:v>User-supplied October update</x:v>
      </x:c>
    </x:row>
    <x:row r="50" ht="42" customHeight="1">
      <x:c r="A50" s="13" t="str">
        <x:v>S54</x:v>
      </x:c>
      <x:c r="B50" s="13" t="str">
        <x:v>ESSENTIALS 5000 DVP™ SOB V3_3_26.pdf</x:v>
      </x:c>
      <x:c r="C50" s="13" t="str">
        <x:v>See PDF</x:v>
      </x:c>
      <x:c r="D50" s="13" t="str">
        <x:v>User-supplied October update</x:v>
      </x:c>
    </x:row>
    <x:row r="51" ht="42" customHeight="1">
      <x:c r="A51" s="13" t="str">
        <x:v>S55</x:v>
      </x:c>
      <x:c r="B51" s="13" t="str">
        <x:v>ESSENTIALS 2500 DVP™ SOB V3_3_26.pdf</x:v>
      </x:c>
      <x:c r="C51" s="13" t="str">
        <x:v>See PDF</x:v>
      </x:c>
      <x:c r="D51" s="13" t="str">
        <x:v>User-supplied October update</x:v>
      </x:c>
    </x:row>
    <x:row r="52" ht="42" customHeight="1">
      <x:c r="A52" s="13" t="str">
        <x:v>S56</x:v>
      </x:c>
      <x:c r="B52" s="13" t="str">
        <x:v>BMI_PHCS_07_30_2025LMP.pdf</x:v>
      </x:c>
      <x:c r="C52" s="13" t="str">
        <x:v>See PDF</x:v>
      </x:c>
      <x:c r="D52" s="13" t="str">
        <x:v>User-supplied October update</x:v>
      </x:c>
    </x:row>
    <x:row r="53" ht="42" customHeight="1">
      <x:c r="A53" s="13" t="str">
        <x:v>S57</x:v>
      </x:c>
      <x:c r="B53" s="13" t="str">
        <x:v>VAULT_ELITE (2).pdf</x:v>
      </x:c>
      <x:c r="C53" s="13" t="str">
        <x:v>See PDF</x:v>
      </x:c>
      <x:c r="D53" s="13" t="str">
        <x:v>User-supplied October update</x:v>
      </x:c>
    </x:row>
    <x:row r="54" ht="42" customHeight="1">
      <x:c r="A54" s="13" t="str">
        <x:v>S58</x:v>
      </x:c>
      <x:c r="B54" s="13" t="str">
        <x:v>2026 SOB Elite Health Plus.pdf</x:v>
      </x:c>
      <x:c r="C54" s="13" t="str">
        <x:v>See PDF</x:v>
      </x:c>
      <x:c r="D54" s="13" t="str">
        <x:v>User-supplied October update</x:v>
      </x:c>
    </x:row>
    <x:row r="55" ht="42" customHeight="1">
      <x:c r="A55" s="13" t="str">
        <x:v>S59</x:v>
      </x:c>
      <x:c r="B55" s="13" t="str">
        <x:v>VAULT_Bronze2_Schedule_9-1-26.pdf</x:v>
      </x:c>
      <x:c r="C55" s="13" t="str">
        <x:v>See PDF</x:v>
      </x:c>
      <x:c r="D55" s="13" t="str">
        <x:v>User-supplied October update</x:v>
      </x:c>
    </x:row>
    <x:row r="56" ht="42" customHeight="1">
      <x:c r="A56" s="13" t="str">
        <x:v>S60</x:v>
      </x:c>
      <x:c r="B56" s="13" t="str">
        <x:v>VAULT_Silver2_Schedule_9-1-26.pdf</x:v>
      </x:c>
      <x:c r="C56" s="13" t="str">
        <x:v>See PDF</x:v>
      </x:c>
      <x:c r="D56" s="13" t="str">
        <x:v>User-supplied October update</x:v>
      </x:c>
    </x:row>
    <x:row r="57" ht="42" customHeight="1">
      <x:c r="A57" s="13" t="str">
        <x:v>S63</x:v>
      </x:c>
      <x:c r="B57" s="13" t="str">
        <x:v>MedPerformance_3500-Classic_Schedule_7-1-26.pdf</x:v>
      </x:c>
      <x:c r="C57" s="13" t="str">
        <x:v>See PDF</x:v>
      </x:c>
      <x:c r="D57" s="13" t="str">
        <x:v>User-supplied October update</x:v>
      </x:c>
    </x:row>
    <x:row r="58" ht="42" customHeight="1">
      <x:c r="A58" s="13" t="str">
        <x:v>S64</x:v>
      </x:c>
      <x:c r="B58" s="13" t="str">
        <x:v>MedPerformance_5000-Classic_Schedule_7-1-26.pdf</x:v>
      </x:c>
      <x:c r="C58" s="13" t="str">
        <x:v>See PDF</x:v>
      </x:c>
      <x:c r="D58" s="13" t="str">
        <x:v>User-supplied October update</x:v>
      </x:c>
    </x:row>
    <x:row r="59" ht="42" customHeight="1">
      <x:c r="A59" s="13" t="str">
        <x:v>S65</x:v>
      </x:c>
      <x:c r="B59" s="13" t="str">
        <x:v>MedPerformance_5000-HSA_Schedule_7-1-26.pdf</x:v>
      </x:c>
      <x:c r="C59" s="13" t="str">
        <x:v>See PDF</x:v>
      </x:c>
      <x:c r="D59" s="13" t="str">
        <x:v>User-supplied October update</x:v>
      </x:c>
    </x:row>
    <x:row r="60" ht="42" customHeight="1">
      <x:c r="A60" s="13" t="str">
        <x:v>S66</x:v>
      </x:c>
      <x:c r="B60" s="13" t="str">
        <x:v>MedPerformance_7350-Value_Schedule_7-1-26.pdf</x:v>
      </x:c>
      <x:c r="C60" s="13" t="str">
        <x:v>See PDF</x:v>
      </x:c>
      <x:c r="D60" s="13" t="str">
        <x:v>User-supplied October update</x:v>
      </x:c>
    </x:row>
    <x:row r="61" ht="42" customHeight="1">
      <x:c r="A61" s="13" t="str">
        <x:v>X1</x:v>
      </x:c>
      <x:c r="B61" s="13" t="str">
        <x:v>Enroll_Prime_U65_Plan_Review.xlsx</x:v>
      </x:c>
      <x:c r="C61" s="13" t="str">
        <x:v>Plans, Networks</x:v>
      </x:c>
      <x:c r="D61" s="13" t="str">
        <x:v>Secondary review workbook; underlying AFI portal quote not supplied</x:v>
      </x:c>
    </x:row>
    <x:row r="62" ht="42" customHeight="1">
      <x:c r="A62" s="13" t="str">
        <x:v>S56</x:v>
      </x:c>
      <x:c r="B62" s="13" t="str">
        <x:v>BMI_PHCS_07_30_2025LMP.pdf</x:v>
      </x:c>
      <x:c r="C62" s="13" t="str">
        <x:v>pp. 8-9</x:v>
      </x:c>
      <x:c r="D62" s="13" t="str">
        <x:v>BMI household premium tiers</x:v>
      </x:c>
    </x:row>
    <x:row r="63" ht="42" customHeight="1">
      <x:c r="A63" s="13" t="str">
        <x:v>S62</x:v>
      </x:c>
      <x:c r="B63" s="13" t="str">
        <x:v>GROUP_ASSOCIATION_PHCS_PROVIDER_LOOKUP.pdf</x:v>
      </x:c>
      <x:c r="C63" s="13" t="str">
        <x:v>p. 1</x:v>
      </x:c>
      <x:c r="D63" s="13" t="str">
        <x:v>PHCS Extended PPO lookup instruction</x:v>
      </x:c>
    </x:row>
    <x:row r="64" ht="42" customHeight="1">
      <x:c r="A64" s="13" t="str">
        <x:v>W1</x:v>
      </x:c>
      <x:c r="B64" s="13" t="str">
        <x:v>UT Southwestern accepted insurance</x:v>
      </x:c>
      <x:c r="C64" s="13" t="str">
        <x:v>2026-09-20</x:v>
      </x:c>
      <x:c r="D64" s="13" t="str">
        <x:v>https://utswmed.org/patient-resources/billing-and-insurance/insurance-accepted/</x:v>
      </x:c>
    </x:row>
    <x:row r="65" ht="42" customHeight="1">
      <x:c r="A65" s="13" t="str">
        <x:v>W2</x:v>
      </x:c>
      <x:c r="B65" s="13" t="str">
        <x:v>Houston Methodist Willowbrook accepted insurance</x:v>
      </x:c>
      <x:c r="C65" s="13" t="str">
        <x:v>2026-09-20</x:v>
      </x:c>
      <x:c r="D65" s="13" t="str">
        <x:v>https://www.houstonmethodist.org/locations/willowbrook/for-patients/insurances-accepted/</x:v>
      </x:c>
    </x:row>
    <x:row r="66" ht="42" customHeight="1">
      <x:c r="A66" s="13" t="str">
        <x:v>W3</x:v>
      </x:c>
      <x:c r="B66" s="13" t="str">
        <x:v>Broward Health accepted insurance</x:v>
      </x:c>
      <x:c r="C66" s="13" t="str">
        <x:v>2026-09-20</x:v>
      </x:c>
      <x:c r="D66" s="13" t="str">
        <x:v>https://www.browardhealth.org/patients-and-visitors/billing-and-insurance/accepted-insurance-plans</x:v>
      </x:c>
    </x:row>
    <x:row r="67" ht="42" customHeight="1">
      <x:c r="A67" s="13" t="str">
        <x:v>W4</x:v>
      </x:c>
      <x:c r="B67" s="13" t="str">
        <x:v>Claritev PHCS primary networks</x:v>
      </x:c>
      <x:c r="C67" s="13" t="str">
        <x:v>2026-09-20</x:v>
      </x:c>
      <x:c r="D67" s="13" t="str">
        <x:v>https://www.claritev.com/solutions/network-solutions/primary-networks/</x:v>
      </x:c>
    </x:row>
    <x:row r="68" ht="42" customHeight="1">
      <x:c r="A68" s="13" t="str">
        <x:v>W5</x:v>
      </x:c>
      <x:c r="B68" s="13" t="str">
        <x:v>First Health provider locator</x:v>
      </x:c>
      <x:c r="C68" s="13" t="str">
        <x:v>2026-09-20</x:v>
      </x:c>
      <x:c r="D68" s="13" t="str">
        <x:v>https://providerlocator.firsthealth.com/</x:v>
      </x:c>
    </x:row>
    <x:row r="69" ht="42" customHeight="1">
      <x:c r="A69" s="13" t="str">
        <x:v>W6</x:v>
      </x:c>
      <x:c r="B69" s="13" t="str">
        <x:v>Cigna provider resources</x:v>
      </x:c>
      <x:c r="C69" s="13" t="str">
        <x:v>2026-09-20</x:v>
      </x:c>
      <x:c r="D69" s="13" t="str">
        <x:v>https://cignaforhcp.cigna.com/</x:v>
      </x:c>
    </x:row>
    <x:row r="70" ht="42" customHeight="1">
      <x:c r="A70" s="13" t="str">
        <x:v>W7</x:v>
      </x:c>
      <x:c r="B70" s="13" t="str">
        <x:v>UCLA Health accepted insurance</x:v>
      </x:c>
      <x:c r="C70" s="13" t="str">
        <x:v>2026-09-20</x:v>
      </x:c>
      <x:c r="D70" s="13" t="str">
        <x:v>https://www.uclahealth.org/patient-resources/billing-insurance/health-insurance-accepted</x:v>
      </x:c>
    </x:row>
    <x:row r="71" ht="42" customHeight="1">
      <x:c r="A71" s="13" t="str">
        <x:v>W8</x:v>
      </x:c>
      <x:c r="B71" s="13" t="str">
        <x:v>UW Medicine insurance and coverage</x:v>
      </x:c>
      <x:c r="C71" s="13" t="str">
        <x:v>2026-09-20</x:v>
      </x:c>
      <x:c r="D71" s="13" t="str">
        <x:v>https://www.uwmedicine.org/patient-resources/billing-and-insurance/insurance-and-coverage</x:v>
      </x:c>
    </x:row>
    <x:row r="72" ht="42" customHeight="1">
      <x:c r="A72" s="13" t="str">
        <x:v>W9</x:v>
      </x:c>
      <x:c r="B72" s="13" t="str">
        <x:v>Massachusetts General Hospital accepted insurance</x:v>
      </x:c>
      <x:c r="C72" s="13" t="str">
        <x:v>2026-09-20</x:v>
      </x:c>
      <x:c r="D72" s="13" t="str">
        <x:v>https://www.massgeneralbrigham.org/sites/default/files/MGH-Insurance-Accepted.pdf</x:v>
      </x:c>
    </x:row>
    <x:row r="73" ht="42" customHeight="1">
      <x:c r="A73" s="13" t="str">
        <x:v>W10</x:v>
      </x:c>
      <x:c r="B73" s="13" t="str">
        <x:v>First Health Cleveland Clinic termination June 10 2025</x:v>
      </x:c>
      <x:c r="C73" s="13" t="str">
        <x:v>2026-09-20</x:v>
      </x:c>
      <x:c r="D73" s="13" t="str">
        <x:v>https://encoreconnect.com/wp-content/uploads/First-Health-Cleveland-Clinic-Termination-Client-Communication-June-2025.pdf</x:v>
      </x:c>
    </x:row>
    <x:row r="74" ht="42" customHeight="1">
      <x:c r="A74" s="13" t="str">
        <x:v>W11</x:v>
      </x:c>
      <x:c r="B74" s="13" t="str">
        <x:v>Cleveland Clinic Northeast Ohio accepted insurance</x:v>
      </x:c>
      <x:c r="C74" s="13" t="str">
        <x:v>2026-09-20</x:v>
      </x:c>
      <x:c r="D74" s="13" t="str">
        <x:v>https://my.clevelandclinic.org/patients/accepted-insurance</x:v>
      </x:c>
    </x:row>
    <x:row r="75" ht="42" customHeight="1">
      <x:c r="A75" s="13" t="str">
        <x:v>W12</x:v>
      </x:c>
      <x:c r="B75" s="13" t="str">
        <x:v>US state boundaries for maps</x:v>
      </x:c>
      <x:c r="C75" s="13" t="str">
        <x:v>2026-09-20</x:v>
      </x:c>
      <x:c r="D75" s="13" t="str">
        <x:v>https://github.com/PublicaMundi/MappingAPI/blob/master/data/geojson/us-states.json</x:v>
      </x:c>
    </x:row>
    <x:row r="76" ht="42" customHeight="1">
      <x:c r="A76" s="13" t="str">
        <x:v>O1</x:v>
      </x:c>
      <x:c r="B76" s="13" t="str">
        <x:v>Outlook Amerus Summit Health Plans - Contracting &amp; Info (2026-09-15)</x:v>
      </x:c>
      <x:c r="C76" s="13" t="str">
        <x:v>2026-09-20</x:v>
      </x:c>
      <x:c r="D76" s="13" t="str"/>
    </x:row>
    <x:row r="77" ht="42" customHeight="1">
      <x:c r="A77" s="13" t="str">
        <x:v>O2</x:v>
      </x:c>
      <x:c r="B77" s="13" t="str">
        <x:v>Outlook Contracting (2026-08-17)</x:v>
      </x:c>
      <x:c r="C77" s="13" t="str">
        <x:v>2026-09-20</x:v>
      </x:c>
      <x:c r="D77" s="13" t="str"/>
    </x:row>
    <x:row r="78" ht="42" customHeight="1">
      <x:c r="A78" s="13" t="str">
        <x:v>U1</x:v>
      </x:c>
      <x:c r="B78" s="13" t="str">
        <x:v>User-provided Bloom rates (2026-09-20)</x:v>
      </x:c>
      <x:c r="C78" s="13" t="str">
        <x:v>2026-09-20</x:v>
      </x:c>
      <x:c r="D78" s="13" t="str"/>
    </x:row>
    <x:row r="79" ht="42" customHeight="1">
      <x:c r="A79" s="13" t="str">
        <x:v>O3</x:v>
      </x:c>
      <x:c r="B79" s="13" t="str">
        <x:v>Outlook Amerus limitations and exclusions (2026-09-04)</x:v>
      </x:c>
      <x:c r="C79" s="13" t="str">
        <x:v>2026-09-20</x:v>
      </x:c>
      <x:c r="D79" s="13" t="str"/>
    </x:row>
    <x:row r="80" ht="42" customHeight="1">
      <x:c r="A80" s="13" t="str">
        <x:v>O4</x:v>
      </x:c>
      <x:c r="B80" s="13" t="str">
        <x:v>Outlook Plan 2 PPO Blue sheet (2026-09-15)</x:v>
      </x:c>
      <x:c r="C80" s="13" t="str">
        <x:v>2026-09-20</x:v>
      </x:c>
      <x:c r="D80" s="13" t="str"/>
    </x:row>
    <x:row r="81" ht="42" customHeight="1">
      <x:c r="A81" s="13" t="str">
        <x:v>O1</x:v>
      </x:c>
      <x:c r="B81" s="13" t="str">
        <x:v>Outlook: Amerus Summit Health Plans - Contracting &amp; Info</x:v>
      </x:c>
      <x:c r="C81" s="13" t="str">
        <x:v>2026-09-15</x:v>
      </x:c>
      <x:c r="D81" s="13" t="str">
        <x:v>Marpai, Cigna, VerusRx, composite premium basis and tiers</x:v>
      </x:c>
    </x:row>
    <x:row r="82" ht="42" customHeight="1">
      <x:c r="A82" s="13" t="str">
        <x:v>O2</x:v>
      </x:c>
      <x:c r="B82" s="13" t="str">
        <x:v>Outlook: Contracting</x:v>
      </x:c>
      <x:c r="C82" s="13" t="str">
        <x:v>2026-08-17</x:v>
      </x:c>
      <x:c r="D82" s="13" t="str">
        <x:v>Ultimate Cigna PPO; Premier United Choice Plus; Marpai; VerusRx</x:v>
      </x:c>
    </x:row>
    <x:row r="83" ht="42" customHeight="1">
      <x:c r="A83" s="13" t="str">
        <x:v>O3</x:v>
      </x:c>
      <x:c r="B83" s="13" t="str">
        <x:v>Outlook Amerus limitations and exclusions</x:v>
      </x:c>
      <x:c r="C83" s="13" t="str">
        <x:v>2026-09-04</x:v>
      </x:c>
      <x:c r="D83" s="13" t="str">
        <x:v>Benefit limits, precertification and excluded services</x:v>
      </x:c>
    </x:row>
    <x:row r="84" ht="42" customHeight="1">
      <x:c r="A84" s="13" t="str">
        <x:v>O4</x:v>
      </x:c>
      <x:c r="B84" s="13" t="str">
        <x:v>Outlook Plan 2 PPO Blue sheet</x:v>
      </x:c>
      <x:c r="C84" s="13" t="str">
        <x:v>2026-09-15</x:v>
      </x:c>
      <x:c r="D84" s="13" t="str">
        <x:v>Integrated PPO gap assertion: net deductible/OOP zero; copays remain</x:v>
      </x:c>
    </x:row>
    <x:row r="85" ht="42" customHeight="1">
      <x:c r="A85" s="13" t="str">
        <x:v>U1</x:v>
      </x:c>
      <x:c r="B85" s="13" t="str">
        <x:v>User-provided Bloom Plans 1-7 rates</x:v>
      </x:c>
      <x:c r="C85" s="13" t="str">
        <x:v>2026-09-20</x:v>
      </x:c>
      <x:c r="D85" s="13" t="str">
        <x:v>Fixed indemnity premiums by household tier</x:v>
      </x:c>
    </x:row>
    <x:row r="86" ht="25" customHeight="1">
      <x:c r="A86" s="2"/>
      <x:c r="B86" s="2"/>
      <x:c r="C86" s="2"/>
      <x:c r="D86" s="2"/>
    </x:row>
    <x:row r="87" ht="25" customHeight="1">
      <x:c r="A87" s="2"/>
      <x:c r="B87" s="2"/>
      <x:c r="C87" s="2"/>
      <x:c r="D87" s="2"/>
    </x:row>
    <x:row r="88" ht="25" customHeight="1">
      <x:c r="A88" s="2"/>
      <x:c r="B88" s="2"/>
      <x:c r="C88" s="2"/>
      <x:c r="D88" s="2"/>
    </x:row>
    <x:row r="89" ht="25" customHeight="1">
      <x:c r="A89" s="2"/>
      <x:c r="B89" s="2"/>
      <x:c r="C89" s="2"/>
      <x:c r="D89" s="2"/>
    </x:row>
    <x:row r="90" ht="25" customHeight="1">
      <x:c r="A90" s="2"/>
      <x:c r="B90" s="2"/>
      <x:c r="C90" s="2"/>
      <x:c r="D90" s="2"/>
    </x:row>
    <x:row r="91" ht="25" customHeight="1">
      <x:c r="A91" s="2"/>
      <x:c r="B91" s="2"/>
      <x:c r="C91" s="2"/>
      <x:c r="D91" s="2"/>
    </x:row>
    <x:row r="92" ht="25" customHeight="1">
      <x:c r="A92" s="2"/>
      <x:c r="B92" s="2"/>
      <x:c r="C92" s="2"/>
      <x:c r="D92" s="2"/>
    </x:row>
    <x:row r="93" ht="25" customHeight="1">
      <x:c r="A93" s="2"/>
      <x:c r="B93" s="2"/>
      <x:c r="C93" s="2"/>
      <x:c r="D93" s="2"/>
    </x:row>
    <x:row r="94" ht="25" customHeight="1">
      <x:c r="A94" s="2"/>
      <x:c r="B94" s="2"/>
      <x:c r="C94" s="2"/>
      <x:c r="D94" s="2"/>
    </x:row>
    <x:row r="95" ht="25" customHeight="1">
      <x:c r="A95" s="2"/>
      <x:c r="B95" s="2"/>
      <x:c r="C95" s="2"/>
      <x:c r="D95" s="2"/>
    </x:row>
  </x:sheetData>
  <x:pageMargins left="0.7" right="0.7" top="0.75" bottom="0.75" header="0.3" footer="0.3"/>
</x:worksheet>
</file>